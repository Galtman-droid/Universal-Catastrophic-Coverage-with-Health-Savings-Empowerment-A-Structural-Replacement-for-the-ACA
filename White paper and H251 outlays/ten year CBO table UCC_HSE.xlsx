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dd28ee5e51c23de/Desktop/Buisnesses/Political letters/Universal Catastraphic Coverage/"/>
    </mc:Choice>
  </mc:AlternateContent>
  <xr:revisionPtr revIDLastSave="1151" documentId="8_{564BED5F-EF8F-4F76-80A5-A29493277AF0}" xr6:coauthVersionLast="47" xr6:coauthVersionMax="47" xr10:uidLastSave="{359EF9FC-EA3A-49B3-96D7-7EDA6DC76780}"/>
  <bookViews>
    <workbookView xWindow="-110" yWindow="-110" windowWidth="25820" windowHeight="13900" xr2:uid="{17106656-78DC-47C3-9F56-88C6882F8D2E}"/>
  </bookViews>
  <sheets>
    <sheet name="Inputs" sheetId="4" r:id="rId1"/>
    <sheet name="BetaCalc" sheetId="5" r:id="rId2"/>
    <sheet name="GammaCalc " sheetId="6" r:id="rId3"/>
    <sheet name="Outlays" sheetId="2" r:id="rId4"/>
    <sheet name="Savings" sheetId="3" r:id="rId5"/>
    <sheet name="Summary table" sheetId="1" r:id="rId6"/>
    <sheet name="Consumer Savings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2" l="1"/>
  <c r="B10" i="2"/>
  <c r="B4" i="2"/>
  <c r="D32" i="3"/>
  <c r="B3" i="2"/>
  <c r="B5" i="2" s="1"/>
  <c r="B16" i="2" s="1"/>
  <c r="D98" i="4"/>
  <c r="C98" i="4"/>
  <c r="C6" i="4"/>
  <c r="C46" i="4"/>
  <c r="D46" i="4"/>
  <c r="B32" i="3"/>
  <c r="B10" i="3"/>
  <c r="F4" i="6"/>
  <c r="B15" i="3"/>
  <c r="C15" i="3" s="1"/>
  <c r="D15" i="3" s="1"/>
  <c r="E15" i="3" s="1"/>
  <c r="F15" i="3" s="1"/>
  <c r="G15" i="3" s="1"/>
  <c r="H15" i="3" s="1"/>
  <c r="I15" i="3" s="1"/>
  <c r="J15" i="3" s="1"/>
  <c r="K15" i="3" s="1"/>
  <c r="B21" i="3"/>
  <c r="C21" i="3" s="1"/>
  <c r="D21" i="3" s="1"/>
  <c r="E21" i="3" s="1"/>
  <c r="F21" i="3" s="1"/>
  <c r="G21" i="3" s="1"/>
  <c r="H21" i="3" s="1"/>
  <c r="I21" i="3" s="1"/>
  <c r="J21" i="3" s="1"/>
  <c r="K21" i="3" s="1"/>
  <c r="B20" i="3"/>
  <c r="C20" i="3" s="1"/>
  <c r="D20" i="3" s="1"/>
  <c r="E20" i="3" s="1"/>
  <c r="F20" i="3" s="1"/>
  <c r="G20" i="3" s="1"/>
  <c r="H20" i="3" s="1"/>
  <c r="I20" i="3" s="1"/>
  <c r="J20" i="3" s="1"/>
  <c r="K20" i="3" s="1"/>
  <c r="B19" i="3"/>
  <c r="C19" i="3" s="1"/>
  <c r="D19" i="3" s="1"/>
  <c r="E19" i="3" s="1"/>
  <c r="F19" i="3" s="1"/>
  <c r="G19" i="3" s="1"/>
  <c r="H19" i="3" s="1"/>
  <c r="I19" i="3" s="1"/>
  <c r="J19" i="3" s="1"/>
  <c r="K19" i="3" s="1"/>
  <c r="B18" i="3"/>
  <c r="C18" i="3" s="1"/>
  <c r="D18" i="3" s="1"/>
  <c r="E18" i="3" s="1"/>
  <c r="F18" i="3" s="1"/>
  <c r="G18" i="3" s="1"/>
  <c r="H18" i="3" s="1"/>
  <c r="I18" i="3" s="1"/>
  <c r="J18" i="3" s="1"/>
  <c r="K18" i="3" s="1"/>
  <c r="B17" i="3"/>
  <c r="C17" i="3" s="1"/>
  <c r="D17" i="3" s="1"/>
  <c r="E17" i="3" s="1"/>
  <c r="F17" i="3" s="1"/>
  <c r="G17" i="3" s="1"/>
  <c r="H17" i="3" s="1"/>
  <c r="I17" i="3" s="1"/>
  <c r="J17" i="3" s="1"/>
  <c r="K17" i="3" s="1"/>
  <c r="D63" i="4"/>
  <c r="D64" i="4"/>
  <c r="D65" i="4"/>
  <c r="C63" i="4"/>
  <c r="C64" i="4"/>
  <c r="C65" i="4"/>
  <c r="B14" i="3"/>
  <c r="C14" i="3" s="1"/>
  <c r="B13" i="3"/>
  <c r="C13" i="3" s="1"/>
  <c r="C37" i="3" s="1"/>
  <c r="B12" i="3"/>
  <c r="C12" i="3" s="1"/>
  <c r="D12" i="3" s="1"/>
  <c r="E12" i="3" s="1"/>
  <c r="F12" i="3" s="1"/>
  <c r="G12" i="3" s="1"/>
  <c r="H12" i="3" s="1"/>
  <c r="I12" i="3" s="1"/>
  <c r="J12" i="3" s="1"/>
  <c r="K12" i="3" s="1"/>
  <c r="K36" i="3" s="1"/>
  <c r="B11" i="3"/>
  <c r="C11" i="3" s="1"/>
  <c r="D11" i="3" s="1"/>
  <c r="E11" i="3" s="1"/>
  <c r="F11" i="3" s="1"/>
  <c r="G11" i="3" s="1"/>
  <c r="H11" i="3" s="1"/>
  <c r="I11" i="3" s="1"/>
  <c r="J11" i="3" s="1"/>
  <c r="K11" i="3" s="1"/>
  <c r="B28" i="3"/>
  <c r="B6" i="3"/>
  <c r="B31" i="3" s="1"/>
  <c r="B9" i="3"/>
  <c r="C9" i="3" s="1"/>
  <c r="D9" i="3" s="1"/>
  <c r="E9" i="3" s="1"/>
  <c r="F9" i="3" s="1"/>
  <c r="G9" i="3" s="1"/>
  <c r="H9" i="3" s="1"/>
  <c r="I9" i="3" s="1"/>
  <c r="J9" i="3" s="1"/>
  <c r="K9" i="3" s="1"/>
  <c r="B8" i="3"/>
  <c r="C8" i="3" s="1"/>
  <c r="D8" i="3" s="1"/>
  <c r="E8" i="3" s="1"/>
  <c r="F8" i="3" s="1"/>
  <c r="G8" i="3" s="1"/>
  <c r="H8" i="3" s="1"/>
  <c r="I8" i="3" s="1"/>
  <c r="J8" i="3" s="1"/>
  <c r="K8" i="3" s="1"/>
  <c r="B4" i="3"/>
  <c r="C4" i="3" s="1"/>
  <c r="D4" i="3" s="1"/>
  <c r="E4" i="3" s="1"/>
  <c r="F4" i="3" s="1"/>
  <c r="G4" i="3" s="1"/>
  <c r="H4" i="3" s="1"/>
  <c r="I4" i="3" s="1"/>
  <c r="J4" i="3" s="1"/>
  <c r="K4" i="3" s="1"/>
  <c r="B13" i="2"/>
  <c r="C13" i="2" s="1"/>
  <c r="D13" i="2" s="1"/>
  <c r="E13" i="2" s="1"/>
  <c r="F13" i="2" s="1"/>
  <c r="G13" i="2" s="1"/>
  <c r="H13" i="2" s="1"/>
  <c r="I13" i="2" s="1"/>
  <c r="J13" i="2" s="1"/>
  <c r="K13" i="2" s="1"/>
  <c r="D25" i="4"/>
  <c r="C25" i="4"/>
  <c r="B25" i="4"/>
  <c r="F3" i="6"/>
  <c r="F2" i="6"/>
  <c r="D59" i="4"/>
  <c r="D60" i="4"/>
  <c r="D61" i="4"/>
  <c r="C17" i="4"/>
  <c r="D17" i="4"/>
  <c r="D58" i="4"/>
  <c r="C59" i="4"/>
  <c r="C60" i="4"/>
  <c r="C61" i="4"/>
  <c r="C58" i="4"/>
  <c r="D45" i="4"/>
  <c r="D44" i="4"/>
  <c r="C45" i="4"/>
  <c r="C44" i="4"/>
  <c r="D18" i="2"/>
  <c r="C18" i="2"/>
  <c r="B18" i="2"/>
  <c r="F3" i="5"/>
  <c r="F4" i="5"/>
  <c r="F5" i="5"/>
  <c r="F2" i="5"/>
  <c r="C24" i="4"/>
  <c r="D24" i="4"/>
  <c r="C4" i="2"/>
  <c r="D4" i="2" s="1"/>
  <c r="E4" i="2" s="1"/>
  <c r="F4" i="2" s="1"/>
  <c r="G4" i="2" s="1"/>
  <c r="H4" i="2" s="1"/>
  <c r="I4" i="2" s="1"/>
  <c r="J4" i="2" s="1"/>
  <c r="K4" i="2" s="1"/>
  <c r="C50" i="4"/>
  <c r="C51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20" i="4"/>
  <c r="D21" i="4"/>
  <c r="D22" i="4"/>
  <c r="D23" i="4"/>
  <c r="D30" i="4"/>
  <c r="D31" i="4"/>
  <c r="D32" i="4"/>
  <c r="D33" i="4"/>
  <c r="D34" i="4"/>
  <c r="D40" i="4"/>
  <c r="D41" i="4"/>
  <c r="D50" i="4"/>
  <c r="D51" i="4"/>
  <c r="D2" i="4"/>
  <c r="C3" i="4"/>
  <c r="C4" i="4"/>
  <c r="C5" i="4"/>
  <c r="C7" i="4"/>
  <c r="C8" i="4"/>
  <c r="C9" i="4"/>
  <c r="C10" i="4"/>
  <c r="C11" i="4"/>
  <c r="C12" i="4"/>
  <c r="C13" i="4"/>
  <c r="C14" i="4"/>
  <c r="C15" i="4"/>
  <c r="C16" i="4"/>
  <c r="C20" i="4"/>
  <c r="C21" i="4"/>
  <c r="C22" i="4"/>
  <c r="C23" i="4"/>
  <c r="C30" i="4"/>
  <c r="C31" i="4"/>
  <c r="C32" i="4"/>
  <c r="C33" i="4"/>
  <c r="C34" i="4"/>
  <c r="C40" i="4"/>
  <c r="C41" i="4"/>
  <c r="C2" i="4"/>
  <c r="B8" i="2" l="1"/>
  <c r="C3" i="2"/>
  <c r="D3" i="2" s="1"/>
  <c r="B10" i="5"/>
  <c r="B11" i="5" s="1"/>
  <c r="B7" i="2" s="1"/>
  <c r="B7" i="6"/>
  <c r="B12" i="2" s="1"/>
  <c r="B16" i="3"/>
  <c r="C16" i="3" s="1"/>
  <c r="D16" i="3" s="1"/>
  <c r="C24" i="3"/>
  <c r="C39" i="3" s="1"/>
  <c r="B24" i="3"/>
  <c r="B39" i="3" s="1"/>
  <c r="B35" i="3"/>
  <c r="J7" i="3"/>
  <c r="K7" i="3" s="1"/>
  <c r="J3" i="3"/>
  <c r="K3" i="3" s="1"/>
  <c r="B37" i="3"/>
  <c r="B36" i="3"/>
  <c r="C35" i="3"/>
  <c r="C7" i="2"/>
  <c r="C6" i="3"/>
  <c r="D6" i="3" s="1"/>
  <c r="E6" i="3" s="1"/>
  <c r="F6" i="3" s="1"/>
  <c r="G6" i="3" s="1"/>
  <c r="H6" i="3" s="1"/>
  <c r="I6" i="3" s="1"/>
  <c r="J6" i="3" s="1"/>
  <c r="K6" i="3" s="1"/>
  <c r="B38" i="3"/>
  <c r="J5" i="3"/>
  <c r="K5" i="3" s="1"/>
  <c r="C30" i="3"/>
  <c r="C38" i="3"/>
  <c r="D14" i="3"/>
  <c r="C10" i="3"/>
  <c r="D10" i="3" s="1"/>
  <c r="E10" i="3" s="1"/>
  <c r="F10" i="3" s="1"/>
  <c r="G10" i="3" s="1"/>
  <c r="H10" i="3" s="1"/>
  <c r="I10" i="3" s="1"/>
  <c r="J10" i="3" s="1"/>
  <c r="K10" i="3" s="1"/>
  <c r="F36" i="3"/>
  <c r="D13" i="3"/>
  <c r="I36" i="3"/>
  <c r="D36" i="3"/>
  <c r="C36" i="3"/>
  <c r="J36" i="3"/>
  <c r="H36" i="3"/>
  <c r="G36" i="3"/>
  <c r="E36" i="3"/>
  <c r="K34" i="3"/>
  <c r="E34" i="3"/>
  <c r="F34" i="3"/>
  <c r="H34" i="3"/>
  <c r="B34" i="3"/>
  <c r="G34" i="3"/>
  <c r="C33" i="3"/>
  <c r="C34" i="3"/>
  <c r="D34" i="3"/>
  <c r="B33" i="3"/>
  <c r="J34" i="3"/>
  <c r="I34" i="3"/>
  <c r="C29" i="3"/>
  <c r="B30" i="3"/>
  <c r="B29" i="3"/>
  <c r="C5" i="2" l="1"/>
  <c r="C12" i="2"/>
  <c r="D12" i="2" s="1"/>
  <c r="E12" i="2" s="1"/>
  <c r="F12" i="2" s="1"/>
  <c r="G12" i="2" s="1"/>
  <c r="H12" i="2" s="1"/>
  <c r="I12" i="2" s="1"/>
  <c r="J12" i="2" s="1"/>
  <c r="K12" i="2" s="1"/>
  <c r="C8" i="2"/>
  <c r="C16" i="2"/>
  <c r="B41" i="3"/>
  <c r="B4" i="1" s="1"/>
  <c r="C11" i="2"/>
  <c r="D11" i="2" s="1"/>
  <c r="E11" i="2" s="1"/>
  <c r="F11" i="2" s="1"/>
  <c r="G11" i="2" s="1"/>
  <c r="H11" i="2" s="1"/>
  <c r="I11" i="2" s="1"/>
  <c r="J11" i="2" s="1"/>
  <c r="K11" i="2" s="1"/>
  <c r="C10" i="2"/>
  <c r="D10" i="2" s="1"/>
  <c r="E10" i="2" s="1"/>
  <c r="F10" i="2" s="1"/>
  <c r="G10" i="2" s="1"/>
  <c r="H10" i="2" s="1"/>
  <c r="I10" i="2" s="1"/>
  <c r="J10" i="2" s="1"/>
  <c r="K10" i="2" s="1"/>
  <c r="E16" i="3"/>
  <c r="D24" i="3"/>
  <c r="D39" i="3" s="1"/>
  <c r="C32" i="3"/>
  <c r="C31" i="3"/>
  <c r="D35" i="3"/>
  <c r="E14" i="3"/>
  <c r="D38" i="3"/>
  <c r="E13" i="3"/>
  <c r="D37" i="3"/>
  <c r="D5" i="2"/>
  <c r="D16" i="2" s="1"/>
  <c r="E3" i="2"/>
  <c r="E7" i="2"/>
  <c r="D7" i="2"/>
  <c r="I7" i="2"/>
  <c r="D31" i="3"/>
  <c r="G7" i="2"/>
  <c r="H7" i="2"/>
  <c r="D33" i="3"/>
  <c r="J7" i="2"/>
  <c r="K7" i="2"/>
  <c r="F7" i="2"/>
  <c r="C28" i="3"/>
  <c r="D30" i="3"/>
  <c r="D29" i="3"/>
  <c r="C41" i="3" l="1"/>
  <c r="C4" i="1" s="1"/>
  <c r="C14" i="2"/>
  <c r="C20" i="2" s="1"/>
  <c r="C3" i="1" s="1"/>
  <c r="D14" i="2"/>
  <c r="B14" i="2"/>
  <c r="B20" i="2" s="1"/>
  <c r="B3" i="1" s="1"/>
  <c r="B6" i="1" s="1"/>
  <c r="B7" i="1" s="1"/>
  <c r="F16" i="3"/>
  <c r="E24" i="3"/>
  <c r="E39" i="3" s="1"/>
  <c r="F14" i="3"/>
  <c r="E38" i="3"/>
  <c r="F13" i="3"/>
  <c r="E37" i="3"/>
  <c r="E35" i="3"/>
  <c r="E14" i="2"/>
  <c r="D8" i="2"/>
  <c r="F3" i="2"/>
  <c r="E5" i="2"/>
  <c r="E16" i="2" s="1"/>
  <c r="E33" i="3"/>
  <c r="E29" i="3"/>
  <c r="D28" i="3"/>
  <c r="D41" i="3" s="1"/>
  <c r="E32" i="3"/>
  <c r="D20" i="2" l="1"/>
  <c r="D3" i="1" s="1"/>
  <c r="C6" i="1"/>
  <c r="C7" i="1" s="1"/>
  <c r="G16" i="3"/>
  <c r="F24" i="3"/>
  <c r="F39" i="3" s="1"/>
  <c r="E8" i="2"/>
  <c r="F37" i="3"/>
  <c r="G13" i="3"/>
  <c r="F35" i="3"/>
  <c r="G14" i="3"/>
  <c r="F38" i="3"/>
  <c r="E31" i="3"/>
  <c r="G3" i="2"/>
  <c r="F5" i="2"/>
  <c r="F16" i="2" s="1"/>
  <c r="D4" i="1"/>
  <c r="F33" i="3"/>
  <c r="F31" i="3"/>
  <c r="E28" i="3"/>
  <c r="F29" i="3"/>
  <c r="F32" i="3"/>
  <c r="D6" i="1" l="1"/>
  <c r="D7" i="1" s="1"/>
  <c r="E20" i="2"/>
  <c r="E3" i="1" s="1"/>
  <c r="E41" i="3"/>
  <c r="E4" i="1" s="1"/>
  <c r="H16" i="3"/>
  <c r="G24" i="3"/>
  <c r="G39" i="3" s="1"/>
  <c r="F8" i="2"/>
  <c r="G38" i="3"/>
  <c r="H14" i="3"/>
  <c r="G35" i="3"/>
  <c r="G37" i="3"/>
  <c r="H13" i="3"/>
  <c r="F14" i="2"/>
  <c r="H3" i="2"/>
  <c r="G5" i="2"/>
  <c r="G16" i="2" s="1"/>
  <c r="G14" i="2"/>
  <c r="G29" i="3"/>
  <c r="F28" i="3"/>
  <c r="F41" i="3" s="1"/>
  <c r="G31" i="3"/>
  <c r="G32" i="3"/>
  <c r="E6" i="1" l="1"/>
  <c r="E7" i="1" s="1"/>
  <c r="F20" i="2"/>
  <c r="F3" i="1" s="1"/>
  <c r="I16" i="3"/>
  <c r="H24" i="3"/>
  <c r="H39" i="3" s="1"/>
  <c r="G8" i="2"/>
  <c r="H35" i="3"/>
  <c r="H37" i="3"/>
  <c r="I13" i="3"/>
  <c r="I14" i="3"/>
  <c r="H38" i="3"/>
  <c r="I3" i="2"/>
  <c r="H5" i="2"/>
  <c r="H16" i="2" s="1"/>
  <c r="F4" i="1"/>
  <c r="H14" i="2"/>
  <c r="H31" i="3"/>
  <c r="G28" i="3"/>
  <c r="H29" i="3"/>
  <c r="H32" i="3"/>
  <c r="G20" i="2" l="1"/>
  <c r="G3" i="1" s="1"/>
  <c r="F6" i="1"/>
  <c r="F7" i="1" s="1"/>
  <c r="G41" i="3"/>
  <c r="G4" i="1" s="1"/>
  <c r="J16" i="3"/>
  <c r="I24" i="3"/>
  <c r="I39" i="3" s="1"/>
  <c r="H8" i="2"/>
  <c r="J13" i="3"/>
  <c r="I37" i="3"/>
  <c r="J14" i="3"/>
  <c r="I38" i="3"/>
  <c r="I35" i="3"/>
  <c r="J3" i="2"/>
  <c r="K3" i="2" s="1"/>
  <c r="K5" i="2" s="1"/>
  <c r="K8" i="2" s="1"/>
  <c r="I5" i="2"/>
  <c r="I16" i="2" s="1"/>
  <c r="I14" i="2"/>
  <c r="I29" i="3"/>
  <c r="H28" i="3"/>
  <c r="H41" i="3" s="1"/>
  <c r="I31" i="3"/>
  <c r="I32" i="3"/>
  <c r="G6" i="1" l="1"/>
  <c r="G7" i="1" s="1"/>
  <c r="H20" i="2"/>
  <c r="H3" i="1" s="1"/>
  <c r="K16" i="3"/>
  <c r="K24" i="3" s="1"/>
  <c r="K39" i="3" s="1"/>
  <c r="J24" i="3"/>
  <c r="J39" i="3" s="1"/>
  <c r="I8" i="2"/>
  <c r="I20" i="2"/>
  <c r="I3" i="1" s="1"/>
  <c r="K35" i="3"/>
  <c r="J35" i="3"/>
  <c r="K14" i="3"/>
  <c r="K38" i="3" s="1"/>
  <c r="J38" i="3"/>
  <c r="J37" i="3"/>
  <c r="K13" i="3"/>
  <c r="K37" i="3" s="1"/>
  <c r="H4" i="1"/>
  <c r="J5" i="2"/>
  <c r="J16" i="2" s="1"/>
  <c r="K14" i="2"/>
  <c r="J14" i="2"/>
  <c r="K31" i="3"/>
  <c r="J31" i="3"/>
  <c r="I28" i="3"/>
  <c r="I41" i="3" s="1"/>
  <c r="K29" i="3"/>
  <c r="J29" i="3"/>
  <c r="K32" i="3"/>
  <c r="J32" i="3"/>
  <c r="K16" i="2" l="1"/>
  <c r="H6" i="1"/>
  <c r="H7" i="1" s="1"/>
  <c r="J8" i="2"/>
  <c r="I4" i="1"/>
  <c r="I6" i="1" s="1"/>
  <c r="K28" i="3"/>
  <c r="K41" i="3" s="1"/>
  <c r="J28" i="3"/>
  <c r="J41" i="3" s="1"/>
  <c r="K20" i="2" l="1"/>
  <c r="K3" i="1" s="1"/>
  <c r="J20" i="2"/>
  <c r="J3" i="1" s="1"/>
  <c r="J4" i="1"/>
  <c r="I7" i="1"/>
  <c r="K4" i="1"/>
  <c r="J6" i="1" l="1"/>
  <c r="J7" i="1" s="1"/>
  <c r="K6" i="1"/>
  <c r="B9" i="1" l="1"/>
  <c r="K7" i="1"/>
</calcChain>
</file>

<file path=xl/sharedStrings.xml><?xml version="1.0" encoding="utf-8"?>
<sst xmlns="http://schemas.openxmlformats.org/spreadsheetml/2006/main" count="195" uniqueCount="176">
  <si>
    <t>Parameter name</t>
  </si>
  <si>
    <t>Value (Central)</t>
  </si>
  <si>
    <t>Low Scenario Adjuster</t>
  </si>
  <si>
    <t>High Scenario Adjuster</t>
  </si>
  <si>
    <t>IncomeGrowth</t>
  </si>
  <si>
    <t>Alpha (α)</t>
  </si>
  <si>
    <t>Beta_max (β_max)</t>
  </si>
  <si>
    <t>z_L</t>
  </si>
  <si>
    <t>z_U</t>
  </si>
  <si>
    <t>Kappa (κ)</t>
  </si>
  <si>
    <t>Phi (φ)</t>
  </si>
  <si>
    <t>Gamma_max (γ_max)</t>
  </si>
  <si>
    <t>zL_prime</t>
  </si>
  <si>
    <t>zU_prime</t>
  </si>
  <si>
    <t>H_adult</t>
  </si>
  <si>
    <t xml:space="preserve"> H_chronic</t>
  </si>
  <si>
    <t>AdultPopulation</t>
  </si>
  <si>
    <t>Child0_5Population</t>
  </si>
  <si>
    <t>Child6_17Population</t>
  </si>
  <si>
    <t>ACA_PTC_2025</t>
  </si>
  <si>
    <t>MedicaidExpansion_2025</t>
  </si>
  <si>
    <t>MarketplaceAdmin_2025</t>
  </si>
  <si>
    <t>ExclusionRevenue_2025</t>
  </si>
  <si>
    <t>BenchmarkPremium_2025</t>
  </si>
  <si>
    <t>MedianIncome_2025</t>
  </si>
  <si>
    <t>w1 (premium weight)</t>
  </si>
  <si>
    <t>w2 (income weight)</t>
  </si>
  <si>
    <t>Benchmark Premium (per enrollee)</t>
  </si>
  <si>
    <t>Total Benchmark Premium Volume (billions)</t>
  </si>
  <si>
    <t>Average Federal Share of Catastrophic Premium (α + β weighted)</t>
  </si>
  <si>
    <t>Catastrophic Credits (billions)</t>
  </si>
  <si>
    <t>Federal Reinsurance (billions)</t>
  </si>
  <si>
    <t>Transition/Admin Costs (billions)</t>
  </si>
  <si>
    <t>Total Federal Outlays (sum of all above)</t>
  </si>
  <si>
    <t>Enrollment Growth</t>
  </si>
  <si>
    <t>all done with central range estimation</t>
  </si>
  <si>
    <t>ChronicShare (% of pop)</t>
  </si>
  <si>
    <t xml:space="preserve"> Band</t>
  </si>
  <si>
    <t xml:space="preserve"> z (normalized income)</t>
  </si>
  <si>
    <t xml:space="preserve"> PopShare</t>
  </si>
  <si>
    <t xml:space="preserve"> β(z)</t>
  </si>
  <si>
    <t xml:space="preserve"> Low income</t>
  </si>
  <si>
    <t xml:space="preserve"> Lower-middle</t>
  </si>
  <si>
    <t xml:space="preserve"> Upper-middle</t>
  </si>
  <si>
    <t>High income</t>
  </si>
  <si>
    <t>Average Beta</t>
  </si>
  <si>
    <t xml:space="preserve">Average Federal Share </t>
  </si>
  <si>
    <t>FPL%</t>
  </si>
  <si>
    <t>rough average income</t>
  </si>
  <si>
    <t>&lt;150</t>
  </si>
  <si>
    <t>150-300</t>
  </si>
  <si>
    <t>300-600</t>
  </si>
  <si>
    <t>&gt;600</t>
  </si>
  <si>
    <t>≲$35–40k</t>
  </si>
  <si>
    <t>$35–70k</t>
  </si>
  <si>
    <t>&gt; $140k</t>
  </si>
  <si>
    <t>$70–140k</t>
  </si>
  <si>
    <t>Enrollees (persons)</t>
  </si>
  <si>
    <t>Adult HSA Deposits (billions)</t>
  </si>
  <si>
    <t>Child 0–5 HSA Deposits (billions)</t>
  </si>
  <si>
    <t>Child 6–17 HSA Deposits (billions)</t>
  </si>
  <si>
    <t>Chronic Condition Supplements (billions)</t>
  </si>
  <si>
    <t>Total Federal HSA Deposits (billions)</t>
  </si>
  <si>
    <t xml:space="preserve">ReinsuranceShare </t>
  </si>
  <si>
    <t>TransAdmin_2026</t>
  </si>
  <si>
    <t>TransAdmin_2027</t>
  </si>
  <si>
    <t>TransAdmin_2028</t>
  </si>
  <si>
    <t>ACA_CSR_2025</t>
  </si>
  <si>
    <t>ACA CSR Payments (billions)</t>
  </si>
  <si>
    <t>Marketplace Admin / Plan Management (billions)</t>
  </si>
  <si>
    <t>Savings: PTC Eliminated (billions)</t>
  </si>
  <si>
    <t>Savings: CSR Eliminated (billions)</t>
  </si>
  <si>
    <t>Savings: Medicaid Expansion Transition (billions)</t>
  </si>
  <si>
    <t>Savings: Marketplace Admin Eliminated (billions)</t>
  </si>
  <si>
    <t>Revenue Gain: Employer Exclusion Phase-Down (billions)</t>
  </si>
  <si>
    <t>Total Savings / Revenues (billions)</t>
  </si>
  <si>
    <t>Cumulative Net Impact (Billions)</t>
  </si>
  <si>
    <t>10-Year Net Federal Impact (2026–2035) (Billions)</t>
  </si>
  <si>
    <t>Total Outlays Under Act (Billions)</t>
  </si>
  <si>
    <t>Total Savings Under Act (Billions)</t>
  </si>
  <si>
    <t>Net Federal Impact = Outlays – Savings (Billions)</t>
  </si>
  <si>
    <t xml:space="preserve">MedicaidNonExpansion_2025 </t>
  </si>
  <si>
    <t xml:space="preserve">UncompensatedCare_2025 </t>
  </si>
  <si>
    <t>EmployerExclusionFull_2025</t>
  </si>
  <si>
    <t>Savings: Medicaid Non-Expansion Adults Transition</t>
  </si>
  <si>
    <t>Medicaid NON-expansion baseline (2026) (billions)</t>
  </si>
  <si>
    <t>SilverLoading_2025</t>
  </si>
  <si>
    <t>1332PassThrough_2025</t>
  </si>
  <si>
    <t>ACARiskAdj_Admin_2025</t>
  </si>
  <si>
    <t>MedicaidChurn_Admin_2025</t>
  </si>
  <si>
    <t>PremiumGrowthUCC</t>
  </si>
  <si>
    <t>PremiumGrowthACA</t>
  </si>
  <si>
    <r>
      <t xml:space="preserve"> </t>
    </r>
    <r>
      <rPr>
        <sz val="11"/>
        <color theme="1"/>
        <rFont val="Aptos Narrow"/>
        <family val="2"/>
      </rPr>
      <t>γ</t>
    </r>
    <r>
      <rPr>
        <sz val="11"/>
        <color theme="1"/>
        <rFont val="Aptos Narrow"/>
        <family val="2"/>
        <scheme val="minor"/>
      </rPr>
      <t>(z)</t>
    </r>
  </si>
  <si>
    <t>Average Gamma</t>
  </si>
  <si>
    <t>TotalPopulation_2025</t>
  </si>
  <si>
    <t>Savings: Uncompensated Care Reduction (billions)</t>
  </si>
  <si>
    <t>Savings:SilverLoading (billions)</t>
  </si>
  <si>
    <t>Uncompensated care baseline (2026) (billions)</t>
  </si>
  <si>
    <t>FULL employer exclusion baseline (2026) (billions)</t>
  </si>
  <si>
    <t>SilverLoading (billions)</t>
  </si>
  <si>
    <t>1332PassThrough (billions)</t>
  </si>
  <si>
    <t>ACARiskAdj_Admin (billions)</t>
  </si>
  <si>
    <t>MedicaidChurn_Admin (billions)</t>
  </si>
  <si>
    <t>Savings: 1332PassThrough (billions)</t>
  </si>
  <si>
    <t>Savings: ACARiskAdj_Admin (billions)</t>
  </si>
  <si>
    <t>Savings: MedicaidChurn_Admin (billions)</t>
  </si>
  <si>
    <t>Savings: Behavioral Savings (billions)</t>
  </si>
  <si>
    <t>AvoidedEROverutilization_2026</t>
  </si>
  <si>
    <t>CharityCareTaxOffset_2026</t>
  </si>
  <si>
    <t>COOPAdminElim_2026</t>
  </si>
  <si>
    <t>ExchangeITMaintenance_2026</t>
  </si>
  <si>
    <t>RiskCorridorSavings_2026</t>
  </si>
  <si>
    <t>PreventiveCareOffset_2026</t>
  </si>
  <si>
    <t>EndOfLifeIntensitySavings_2026</t>
  </si>
  <si>
    <t>MedicationAdherenceSavings_2026</t>
  </si>
  <si>
    <t>DiagnosticDuplicationSavings_2026</t>
  </si>
  <si>
    <t>TaxableWageIncrease_2026</t>
  </si>
  <si>
    <t>DisabilityClaimReduction_2026</t>
  </si>
  <si>
    <t>BadDebtReduction_2026 (%)</t>
  </si>
  <si>
    <t>Avoidable_ED_Cost_2026</t>
  </si>
  <si>
    <t>Reduction_Rate</t>
  </si>
  <si>
    <t>Federal_Share</t>
  </si>
  <si>
    <t>Behavioral Savings (billions) aggregate</t>
  </si>
  <si>
    <t>BadDebtReduction effect (billions)</t>
  </si>
  <si>
    <t>CharityCareTaxOffset (billions)</t>
  </si>
  <si>
    <t>PreventiveCareOffset (billions)</t>
  </si>
  <si>
    <t>EndOfLifeIntensitySavings (billions)</t>
  </si>
  <si>
    <t>MedicationAdherenceSavings (billions)</t>
  </si>
  <si>
    <t>DiagnosticDuplicationSavings (billions)</t>
  </si>
  <si>
    <t>TaxableWageIncrease (billions)</t>
  </si>
  <si>
    <t>Disability (billions)</t>
  </si>
  <si>
    <t>Avoided ER Overutilization (billions)</t>
  </si>
  <si>
    <t xml:space="preserve">Hosp_PriceRatio_Current </t>
  </si>
  <si>
    <t xml:space="preserve">Hosp_PriceRatio_Target </t>
  </si>
  <si>
    <t xml:space="preserve">FederalInteractionShare </t>
  </si>
  <si>
    <t xml:space="preserve">Drug_PriceCutShare </t>
  </si>
  <si>
    <t>Phys_PriceRatio_Target</t>
  </si>
  <si>
    <t xml:space="preserve">Phys_PriceRatio_Current </t>
  </si>
  <si>
    <t>HSA_WeightedTaperFactor</t>
  </si>
  <si>
    <t xml:space="preserve">Cat_ReinsShare </t>
  </si>
  <si>
    <t xml:space="preserve">HealthSpendingGrowth </t>
  </si>
  <si>
    <t xml:space="preserve">ConsumerPassThroughShare </t>
  </si>
  <si>
    <t>HSA_FlatUniversalityCost_2026</t>
  </si>
  <si>
    <t>ACA Premium Tax Credits (baseline) (billions) Baseline (CBO Pub. 59273 Table A-2; 2026–2033), extrapolated thereafter</t>
  </si>
  <si>
    <t>Medicaid Expansion Adults baseline (federal share) (billions) Baseline (CBO Pub. 59273 Table A-2; 2026–2033), extrapolated thereafter</t>
  </si>
  <si>
    <t>Employer Exclusion Revenue Loss (under current law) (billions) Baseline (CBO Pub. 59273 Table A-2; 2026–2033), extrapolated thereafter</t>
  </si>
  <si>
    <t>Conservative Savings (billions)</t>
  </si>
  <si>
    <r>
      <t>Federal Catastrophic Payment Limit (FCPL) Index:</t>
    </r>
    <r>
      <rPr>
        <sz val="11"/>
        <color theme="1"/>
        <rFont val="Aptos Narrow"/>
        <family val="2"/>
        <scheme val="minor"/>
      </rPr>
      <t xml:space="preserve"> CPI-U Medical Care</t>
    </r>
  </si>
  <si>
    <t>Consumer Impact (billions unless noted)</t>
  </si>
  <si>
    <t>Year</t>
  </si>
  <si>
    <t>Notes / status</t>
  </si>
  <si>
    <t>Federal transfers to households</t>
  </si>
  <si>
    <t>From Outlays: Catastrophic Credits</t>
  </si>
  <si>
    <t>Federal HSA Deposits (billions)</t>
  </si>
  <si>
    <t>From Outlays: Total Federal HSA Deposits</t>
  </si>
  <si>
    <t>Total Federal Transfers (Credits + HSA) (billions)</t>
  </si>
  <si>
    <t>Household catastrophic premium payments (benchmark-based)</t>
  </si>
  <si>
    <t>From Outlays: Total Benchmark Premium Volume</t>
  </si>
  <si>
    <t>Average Federal Share of Catastrophic Premium (share, 0–1)</t>
  </si>
  <si>
    <t>From Outlays: Average Federal Share</t>
  </si>
  <si>
    <t>Household Share of Catastrophic Premium (billions)</t>
  </si>
  <si>
    <t>Computed: benchmark volume × (1 − federal share)</t>
  </si>
  <si>
    <t>Net household position (partial; transfers minus household catastrophic premium) (billions)</t>
  </si>
  <si>
    <t>Computed: (Credits + HSA) − household catastrophic premium</t>
  </si>
  <si>
    <t>RoutineSpendBaseline_2026 (billions</t>
  </si>
  <si>
    <t>RoutineSpendGrowthRate</t>
  </si>
  <si>
    <t>RoutineShare_UnderDeductible</t>
  </si>
  <si>
    <t>RoutineCashPriceIndex_R</t>
  </si>
  <si>
    <t>PassThroughToConsumers</t>
  </si>
  <si>
    <t>Baseline Routine Spend (billions)</t>
  </si>
  <si>
    <t>HSE Routine Spend (billions)</t>
  </si>
  <si>
    <t>Routine Savings (billions)</t>
  </si>
  <si>
    <t>MedicareBeneficiaries_2026 (persons)</t>
  </si>
  <si>
    <t>NonMedicareFactor (Adults only) = (AdultPopulation - MedicareBeneficiaries)/AdultPopulation</t>
  </si>
  <si>
    <t>Normal_Children_0_5</t>
  </si>
  <si>
    <t>Normal_Children_6_17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</si>
</sst>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sz val="1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1" fontId="0" fillId="0" borderId="0" xfId="0" applyNumberFormat="1"/>
    <xf numFmtId="0" fontId="1" fillId="0" borderId="0" xfId="0" applyFont="1"/>
    <xf numFmtId="2" fontId="0" fillId="0" borderId="0" xfId="0" applyNumberFormat="1"/>
    <xf numFmtId="2" fontId="0" fillId="0" borderId="0" xfId="0" applyNumberFormat="1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2" fillId="0" borderId="0" xfId="0" applyFont="1"/>
    <xf numFmtId="0" fontId="4" fillId="0" borderId="0" xfId="0" applyFont="1" applyAlignment="1">
      <alignment vertical="center" wrapText="1"/>
    </xf>
    <xf numFmtId="0" fontId="5" fillId="0" borderId="0" xfId="0" applyFont="1"/>
    <xf numFmtId="11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47AF5-E967-4A0D-8356-D42AB22E5B88}">
  <dimension ref="A1:E107"/>
  <sheetViews>
    <sheetView tabSelected="1" topLeftCell="A10" workbookViewId="0">
      <selection activeCell="B20" sqref="B20"/>
    </sheetView>
  </sheetViews>
  <sheetFormatPr defaultRowHeight="14.5" x14ac:dyDescent="0.35"/>
  <cols>
    <col min="1" max="1" width="77.453125" bestFit="1" customWidth="1"/>
    <col min="2" max="2" width="13.81640625" bestFit="1" customWidth="1"/>
    <col min="3" max="3" width="18.81640625" bestFit="1" customWidth="1"/>
    <col min="4" max="4" width="20.5429687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90</v>
      </c>
      <c r="B2">
        <v>4.4999999999999998E-2</v>
      </c>
      <c r="C2">
        <f>(0.85*B2)</f>
        <v>3.8249999999999999E-2</v>
      </c>
      <c r="D2">
        <f>(1.15*B2)</f>
        <v>5.1749999999999997E-2</v>
      </c>
    </row>
    <row r="3" spans="1:4" x14ac:dyDescent="0.35">
      <c r="A3" t="s">
        <v>4</v>
      </c>
      <c r="B3">
        <v>3.5000000000000003E-2</v>
      </c>
      <c r="C3">
        <f t="shared" ref="C3:C51" si="0">(0.85*B3)</f>
        <v>2.9750000000000002E-2</v>
      </c>
      <c r="D3">
        <f t="shared" ref="D3:D51" si="1">(1.15*B3)</f>
        <v>4.0250000000000001E-2</v>
      </c>
    </row>
    <row r="4" spans="1:4" x14ac:dyDescent="0.35">
      <c r="A4" t="s">
        <v>5</v>
      </c>
      <c r="B4">
        <v>0.5</v>
      </c>
      <c r="C4">
        <f t="shared" si="0"/>
        <v>0.42499999999999999</v>
      </c>
      <c r="D4">
        <f t="shared" si="1"/>
        <v>0.57499999999999996</v>
      </c>
    </row>
    <row r="5" spans="1:4" x14ac:dyDescent="0.35">
      <c r="A5" t="s">
        <v>6</v>
      </c>
      <c r="B5">
        <v>0.35</v>
      </c>
      <c r="C5">
        <f t="shared" si="0"/>
        <v>0.29749999999999999</v>
      </c>
      <c r="D5">
        <f t="shared" si="1"/>
        <v>0.40249999999999997</v>
      </c>
    </row>
    <row r="6" spans="1:4" x14ac:dyDescent="0.35">
      <c r="A6" t="s">
        <v>7</v>
      </c>
      <c r="B6">
        <v>1.5</v>
      </c>
      <c r="C6">
        <f>(0.85*B6)</f>
        <v>1.2749999999999999</v>
      </c>
      <c r="D6">
        <f t="shared" si="1"/>
        <v>1.7249999999999999</v>
      </c>
    </row>
    <row r="7" spans="1:4" x14ac:dyDescent="0.35">
      <c r="A7" t="s">
        <v>8</v>
      </c>
      <c r="B7">
        <v>4</v>
      </c>
      <c r="C7">
        <f t="shared" si="0"/>
        <v>3.4</v>
      </c>
      <c r="D7">
        <f t="shared" si="1"/>
        <v>4.5999999999999996</v>
      </c>
    </row>
    <row r="8" spans="1:4" x14ac:dyDescent="0.35">
      <c r="A8" t="s">
        <v>9</v>
      </c>
      <c r="B8">
        <v>0.9</v>
      </c>
      <c r="C8">
        <f t="shared" si="0"/>
        <v>0.76500000000000001</v>
      </c>
      <c r="D8">
        <f t="shared" si="1"/>
        <v>1.0349999999999999</v>
      </c>
    </row>
    <row r="9" spans="1:4" x14ac:dyDescent="0.35">
      <c r="A9" t="s">
        <v>10</v>
      </c>
      <c r="B9">
        <v>0.1</v>
      </c>
      <c r="C9">
        <f t="shared" si="0"/>
        <v>8.5000000000000006E-2</v>
      </c>
      <c r="D9">
        <f t="shared" si="1"/>
        <v>0.11499999999999999</v>
      </c>
    </row>
    <row r="10" spans="1:4" x14ac:dyDescent="0.35">
      <c r="A10" t="s">
        <v>11</v>
      </c>
      <c r="B10">
        <v>800</v>
      </c>
      <c r="C10">
        <f t="shared" si="0"/>
        <v>680</v>
      </c>
      <c r="D10">
        <f t="shared" si="1"/>
        <v>919.99999999999989</v>
      </c>
    </row>
    <row r="11" spans="1:4" x14ac:dyDescent="0.35">
      <c r="A11" t="s">
        <v>12</v>
      </c>
      <c r="B11">
        <v>2</v>
      </c>
      <c r="C11">
        <f t="shared" si="0"/>
        <v>1.7</v>
      </c>
      <c r="D11">
        <f t="shared" si="1"/>
        <v>2.2999999999999998</v>
      </c>
    </row>
    <row r="12" spans="1:4" x14ac:dyDescent="0.35">
      <c r="A12" t="s">
        <v>13</v>
      </c>
      <c r="B12">
        <v>5</v>
      </c>
      <c r="C12">
        <f t="shared" si="0"/>
        <v>4.25</v>
      </c>
      <c r="D12">
        <f t="shared" si="1"/>
        <v>5.75</v>
      </c>
    </row>
    <row r="13" spans="1:4" x14ac:dyDescent="0.35">
      <c r="A13" t="s">
        <v>14</v>
      </c>
      <c r="B13">
        <v>750</v>
      </c>
      <c r="C13">
        <f t="shared" si="0"/>
        <v>637.5</v>
      </c>
      <c r="D13">
        <f t="shared" si="1"/>
        <v>862.49999999999989</v>
      </c>
    </row>
    <row r="14" spans="1:4" x14ac:dyDescent="0.35">
      <c r="A14" t="s">
        <v>174</v>
      </c>
      <c r="B14">
        <v>1300</v>
      </c>
      <c r="C14">
        <f t="shared" si="0"/>
        <v>1105</v>
      </c>
      <c r="D14">
        <f t="shared" si="1"/>
        <v>1494.9999999999998</v>
      </c>
    </row>
    <row r="15" spans="1:4" x14ac:dyDescent="0.35">
      <c r="A15" t="s">
        <v>175</v>
      </c>
      <c r="B15">
        <v>1000</v>
      </c>
      <c r="C15">
        <f t="shared" si="0"/>
        <v>850</v>
      </c>
      <c r="D15">
        <f t="shared" si="1"/>
        <v>1150</v>
      </c>
    </row>
    <row r="16" spans="1:4" x14ac:dyDescent="0.35">
      <c r="A16" t="s">
        <v>15</v>
      </c>
      <c r="B16">
        <v>1000</v>
      </c>
      <c r="C16">
        <f t="shared" si="0"/>
        <v>850</v>
      </c>
      <c r="D16">
        <f t="shared" si="1"/>
        <v>1150</v>
      </c>
    </row>
    <row r="17" spans="1:4" x14ac:dyDescent="0.35">
      <c r="A17" t="s">
        <v>91</v>
      </c>
      <c r="B17">
        <v>0.06</v>
      </c>
      <c r="C17">
        <f t="shared" si="0"/>
        <v>5.0999999999999997E-2</v>
      </c>
      <c r="D17">
        <f t="shared" si="1"/>
        <v>6.8999999999999992E-2</v>
      </c>
    </row>
    <row r="20" spans="1:4" x14ac:dyDescent="0.35">
      <c r="A20" t="s">
        <v>16</v>
      </c>
      <c r="B20" s="3">
        <v>200000000</v>
      </c>
      <c r="C20" s="3">
        <f t="shared" si="0"/>
        <v>170000000</v>
      </c>
      <c r="D20" s="3">
        <f t="shared" si="1"/>
        <v>229999999.99999997</v>
      </c>
    </row>
    <row r="21" spans="1:4" x14ac:dyDescent="0.35">
      <c r="A21" t="s">
        <v>17</v>
      </c>
      <c r="B21" s="3">
        <v>24000000</v>
      </c>
      <c r="C21" s="3">
        <f t="shared" si="0"/>
        <v>20400000</v>
      </c>
      <c r="D21" s="3">
        <f t="shared" si="1"/>
        <v>27599999.999999996</v>
      </c>
    </row>
    <row r="22" spans="1:4" x14ac:dyDescent="0.35">
      <c r="A22" t="s">
        <v>18</v>
      </c>
      <c r="B22" s="3">
        <v>50000000</v>
      </c>
      <c r="C22" s="3">
        <f t="shared" si="0"/>
        <v>42500000</v>
      </c>
      <c r="D22" s="3">
        <f t="shared" si="1"/>
        <v>57499999.999999993</v>
      </c>
    </row>
    <row r="23" spans="1:4" x14ac:dyDescent="0.35">
      <c r="A23" t="s">
        <v>36</v>
      </c>
      <c r="B23">
        <v>0.2</v>
      </c>
      <c r="C23">
        <f t="shared" si="0"/>
        <v>0.17</v>
      </c>
      <c r="D23">
        <f t="shared" si="1"/>
        <v>0.22999999999999998</v>
      </c>
    </row>
    <row r="24" spans="1:4" x14ac:dyDescent="0.35">
      <c r="A24" t="s">
        <v>34</v>
      </c>
      <c r="B24">
        <v>8.0000000000000002E-3</v>
      </c>
      <c r="C24">
        <f t="shared" si="0"/>
        <v>6.7999999999999996E-3</v>
      </c>
      <c r="D24">
        <f t="shared" si="1"/>
        <v>9.1999999999999998E-3</v>
      </c>
    </row>
    <row r="25" spans="1:4" x14ac:dyDescent="0.35">
      <c r="A25" t="s">
        <v>94</v>
      </c>
      <c r="B25" s="3">
        <f>B20 + B21 + B22</f>
        <v>274000000</v>
      </c>
      <c r="C25" s="3">
        <f t="shared" si="0"/>
        <v>232900000</v>
      </c>
      <c r="D25" s="3">
        <f t="shared" si="1"/>
        <v>315100000</v>
      </c>
    </row>
    <row r="30" spans="1:4" x14ac:dyDescent="0.35">
      <c r="A30" t="s">
        <v>19</v>
      </c>
      <c r="B30">
        <v>70</v>
      </c>
      <c r="C30">
        <f t="shared" si="0"/>
        <v>59.5</v>
      </c>
      <c r="D30">
        <f t="shared" si="1"/>
        <v>80.5</v>
      </c>
    </row>
    <row r="31" spans="1:4" x14ac:dyDescent="0.35">
      <c r="A31" t="s">
        <v>67</v>
      </c>
      <c r="B31">
        <v>12</v>
      </c>
      <c r="C31">
        <f t="shared" si="0"/>
        <v>10.199999999999999</v>
      </c>
      <c r="D31">
        <f t="shared" si="1"/>
        <v>13.799999999999999</v>
      </c>
    </row>
    <row r="32" spans="1:4" x14ac:dyDescent="0.35">
      <c r="A32" t="s">
        <v>20</v>
      </c>
      <c r="B32">
        <v>98</v>
      </c>
      <c r="C32">
        <f t="shared" si="0"/>
        <v>83.3</v>
      </c>
      <c r="D32">
        <f t="shared" si="1"/>
        <v>112.69999999999999</v>
      </c>
    </row>
    <row r="33" spans="1:4" x14ac:dyDescent="0.35">
      <c r="A33" t="s">
        <v>21</v>
      </c>
      <c r="B33">
        <v>3</v>
      </c>
      <c r="C33">
        <f t="shared" si="0"/>
        <v>2.5499999999999998</v>
      </c>
      <c r="D33">
        <f t="shared" si="1"/>
        <v>3.4499999999999997</v>
      </c>
    </row>
    <row r="34" spans="1:4" x14ac:dyDescent="0.35">
      <c r="A34" t="s">
        <v>22</v>
      </c>
      <c r="B34">
        <v>22</v>
      </c>
      <c r="C34">
        <f t="shared" si="0"/>
        <v>18.7</v>
      </c>
      <c r="D34">
        <f t="shared" si="1"/>
        <v>25.299999999999997</v>
      </c>
    </row>
    <row r="40" spans="1:4" x14ac:dyDescent="0.35">
      <c r="A40" t="s">
        <v>23</v>
      </c>
      <c r="B40">
        <v>7500</v>
      </c>
      <c r="C40">
        <f t="shared" si="0"/>
        <v>6375</v>
      </c>
      <c r="D40">
        <f t="shared" si="1"/>
        <v>8625</v>
      </c>
    </row>
    <row r="41" spans="1:4" x14ac:dyDescent="0.35">
      <c r="A41" t="s">
        <v>24</v>
      </c>
      <c r="B41">
        <v>71000</v>
      </c>
      <c r="C41">
        <f t="shared" si="0"/>
        <v>60350</v>
      </c>
      <c r="D41">
        <f t="shared" si="1"/>
        <v>81650</v>
      </c>
    </row>
    <row r="44" spans="1:4" x14ac:dyDescent="0.35">
      <c r="A44" t="s">
        <v>81</v>
      </c>
      <c r="B44">
        <v>400</v>
      </c>
      <c r="C44">
        <f>(B44*0.85)</f>
        <v>340</v>
      </c>
      <c r="D44">
        <f>(B44*1.15)</f>
        <v>459.99999999999994</v>
      </c>
    </row>
    <row r="45" spans="1:4" x14ac:dyDescent="0.35">
      <c r="A45" t="s">
        <v>82</v>
      </c>
      <c r="B45">
        <v>50</v>
      </c>
      <c r="C45">
        <f t="shared" ref="C45:C46" si="2">(B45*0.85)</f>
        <v>42.5</v>
      </c>
      <c r="D45">
        <f t="shared" ref="D45:D46" si="3">(B45*1.15)</f>
        <v>57.499999999999993</v>
      </c>
    </row>
    <row r="46" spans="1:4" x14ac:dyDescent="0.35">
      <c r="A46" t="s">
        <v>83</v>
      </c>
      <c r="B46">
        <v>350</v>
      </c>
      <c r="C46">
        <f t="shared" si="2"/>
        <v>297.5</v>
      </c>
      <c r="D46">
        <f t="shared" si="3"/>
        <v>402.49999999999994</v>
      </c>
    </row>
    <row r="50" spans="1:4" x14ac:dyDescent="0.35">
      <c r="A50" t="s">
        <v>25</v>
      </c>
      <c r="B50">
        <v>0.5</v>
      </c>
      <c r="C50">
        <f t="shared" si="0"/>
        <v>0.42499999999999999</v>
      </c>
      <c r="D50">
        <f t="shared" si="1"/>
        <v>0.57499999999999996</v>
      </c>
    </row>
    <row r="51" spans="1:4" x14ac:dyDescent="0.35">
      <c r="A51" t="s">
        <v>26</v>
      </c>
      <c r="B51">
        <v>0.5</v>
      </c>
      <c r="C51">
        <f t="shared" si="0"/>
        <v>0.42499999999999999</v>
      </c>
      <c r="D51">
        <f t="shared" si="1"/>
        <v>0.57499999999999996</v>
      </c>
    </row>
    <row r="53" spans="1:4" x14ac:dyDescent="0.35">
      <c r="A53" t="s">
        <v>63</v>
      </c>
      <c r="B53">
        <v>0.05</v>
      </c>
    </row>
    <row r="54" spans="1:4" x14ac:dyDescent="0.35">
      <c r="A54" t="s">
        <v>64</v>
      </c>
      <c r="B54">
        <v>4</v>
      </c>
    </row>
    <row r="55" spans="1:4" x14ac:dyDescent="0.35">
      <c r="A55" t="s">
        <v>65</v>
      </c>
      <c r="B55">
        <v>3</v>
      </c>
    </row>
    <row r="56" spans="1:4" x14ac:dyDescent="0.35">
      <c r="A56" t="s">
        <v>66</v>
      </c>
      <c r="B56">
        <v>2</v>
      </c>
    </row>
    <row r="58" spans="1:4" x14ac:dyDescent="0.35">
      <c r="A58" t="s">
        <v>86</v>
      </c>
      <c r="B58">
        <v>3.1</v>
      </c>
      <c r="C58">
        <f>B58*0.85</f>
        <v>2.6349999999999998</v>
      </c>
      <c r="D58">
        <f>B58*1.15</f>
        <v>3.5649999999999999</v>
      </c>
    </row>
    <row r="59" spans="1:4" x14ac:dyDescent="0.35">
      <c r="A59" t="s">
        <v>87</v>
      </c>
      <c r="B59">
        <v>5</v>
      </c>
      <c r="C59">
        <f t="shared" ref="C59:C65" si="4">B59*0.85</f>
        <v>4.25</v>
      </c>
      <c r="D59">
        <f>B59*1.15</f>
        <v>5.75</v>
      </c>
    </row>
    <row r="60" spans="1:4" x14ac:dyDescent="0.35">
      <c r="A60" t="s">
        <v>88</v>
      </c>
      <c r="B60">
        <v>0.05</v>
      </c>
      <c r="C60">
        <f t="shared" si="4"/>
        <v>4.2500000000000003E-2</v>
      </c>
      <c r="D60">
        <f t="shared" ref="D60:D65" si="5">B60*1.15</f>
        <v>5.7499999999999996E-2</v>
      </c>
    </row>
    <row r="61" spans="1:4" x14ac:dyDescent="0.35">
      <c r="A61" t="s">
        <v>89</v>
      </c>
      <c r="B61">
        <v>3</v>
      </c>
      <c r="C61">
        <f t="shared" si="4"/>
        <v>2.5499999999999998</v>
      </c>
      <c r="D61">
        <f t="shared" si="5"/>
        <v>3.4499999999999997</v>
      </c>
    </row>
    <row r="63" spans="1:4" x14ac:dyDescent="0.35">
      <c r="A63" t="s">
        <v>119</v>
      </c>
      <c r="B63" s="3">
        <v>42000000000</v>
      </c>
      <c r="C63" s="3">
        <f t="shared" si="4"/>
        <v>35700000000</v>
      </c>
      <c r="D63" s="3">
        <f t="shared" si="5"/>
        <v>48300000000</v>
      </c>
    </row>
    <row r="64" spans="1:4" x14ac:dyDescent="0.35">
      <c r="A64" t="s">
        <v>120</v>
      </c>
      <c r="B64">
        <v>0.1</v>
      </c>
      <c r="C64">
        <f t="shared" si="4"/>
        <v>8.5000000000000006E-2</v>
      </c>
      <c r="D64">
        <f t="shared" si="5"/>
        <v>0.11499999999999999</v>
      </c>
    </row>
    <row r="65" spans="1:4" x14ac:dyDescent="0.35">
      <c r="A65" t="s">
        <v>121</v>
      </c>
      <c r="B65">
        <v>0.45</v>
      </c>
      <c r="C65">
        <f t="shared" si="4"/>
        <v>0.38250000000000001</v>
      </c>
      <c r="D65">
        <f t="shared" si="5"/>
        <v>0.51749999999999996</v>
      </c>
    </row>
    <row r="67" spans="1:4" x14ac:dyDescent="0.35">
      <c r="A67" t="s">
        <v>107</v>
      </c>
      <c r="B67" s="5">
        <v>2</v>
      </c>
      <c r="C67" s="5">
        <v>1</v>
      </c>
      <c r="D67" s="5">
        <v>3</v>
      </c>
    </row>
    <row r="68" spans="1:4" x14ac:dyDescent="0.35">
      <c r="A68" t="s">
        <v>118</v>
      </c>
      <c r="B68" s="5">
        <v>0.25</v>
      </c>
      <c r="C68" s="5">
        <v>0.15</v>
      </c>
      <c r="D68" s="5">
        <v>0.35</v>
      </c>
    </row>
    <row r="69" spans="1:4" x14ac:dyDescent="0.35">
      <c r="A69" t="s">
        <v>108</v>
      </c>
      <c r="B69">
        <v>2</v>
      </c>
      <c r="C69">
        <v>1</v>
      </c>
      <c r="D69">
        <v>3</v>
      </c>
    </row>
    <row r="70" spans="1:4" x14ac:dyDescent="0.35">
      <c r="A70" t="s">
        <v>109</v>
      </c>
      <c r="B70">
        <v>0</v>
      </c>
      <c r="C70">
        <v>0</v>
      </c>
      <c r="D70">
        <v>0</v>
      </c>
    </row>
    <row r="71" spans="1:4" x14ac:dyDescent="0.35">
      <c r="A71" t="s">
        <v>110</v>
      </c>
      <c r="B71">
        <v>0</v>
      </c>
      <c r="C71">
        <v>0</v>
      </c>
      <c r="D71">
        <v>0</v>
      </c>
    </row>
    <row r="72" spans="1:4" x14ac:dyDescent="0.35">
      <c r="A72" t="s">
        <v>111</v>
      </c>
      <c r="B72">
        <v>0</v>
      </c>
      <c r="C72">
        <v>0</v>
      </c>
      <c r="D72">
        <v>0</v>
      </c>
    </row>
    <row r="74" spans="1:4" x14ac:dyDescent="0.35">
      <c r="A74" t="s">
        <v>112</v>
      </c>
      <c r="B74">
        <v>1.5</v>
      </c>
      <c r="C74">
        <v>0</v>
      </c>
      <c r="D74">
        <v>3</v>
      </c>
    </row>
    <row r="75" spans="1:4" x14ac:dyDescent="0.35">
      <c r="A75" t="s">
        <v>113</v>
      </c>
      <c r="B75">
        <v>2</v>
      </c>
      <c r="C75">
        <v>0.5</v>
      </c>
      <c r="D75">
        <v>4</v>
      </c>
    </row>
    <row r="76" spans="1:4" x14ac:dyDescent="0.35">
      <c r="A76" t="s">
        <v>114</v>
      </c>
      <c r="B76">
        <v>0.25</v>
      </c>
      <c r="C76">
        <v>0.1</v>
      </c>
      <c r="D76">
        <v>0.5</v>
      </c>
    </row>
    <row r="77" spans="1:4" x14ac:dyDescent="0.35">
      <c r="A77" t="s">
        <v>115</v>
      </c>
      <c r="B77">
        <v>0.25</v>
      </c>
      <c r="C77">
        <v>0.1</v>
      </c>
      <c r="D77">
        <v>0.5</v>
      </c>
    </row>
    <row r="79" spans="1:4" x14ac:dyDescent="0.35">
      <c r="A79" t="s">
        <v>116</v>
      </c>
      <c r="B79">
        <v>2</v>
      </c>
      <c r="C79">
        <v>1</v>
      </c>
      <c r="D79">
        <v>3</v>
      </c>
    </row>
    <row r="80" spans="1:4" x14ac:dyDescent="0.35">
      <c r="A80" t="s">
        <v>117</v>
      </c>
      <c r="B80">
        <v>0</v>
      </c>
      <c r="C80">
        <v>0</v>
      </c>
      <c r="D80">
        <v>5</v>
      </c>
    </row>
    <row r="83" spans="1:2" x14ac:dyDescent="0.35">
      <c r="A83" t="s">
        <v>132</v>
      </c>
      <c r="B83">
        <v>2.4</v>
      </c>
    </row>
    <row r="84" spans="1:2" x14ac:dyDescent="0.35">
      <c r="A84" t="s">
        <v>133</v>
      </c>
      <c r="B84">
        <v>1.3</v>
      </c>
    </row>
    <row r="85" spans="1:2" x14ac:dyDescent="0.35">
      <c r="A85" t="s">
        <v>137</v>
      </c>
      <c r="B85">
        <v>1.5</v>
      </c>
    </row>
    <row r="86" spans="1:2" x14ac:dyDescent="0.35">
      <c r="A86" t="s">
        <v>136</v>
      </c>
      <c r="B86">
        <v>1.18</v>
      </c>
    </row>
    <row r="87" spans="1:2" x14ac:dyDescent="0.35">
      <c r="A87" t="s">
        <v>135</v>
      </c>
      <c r="B87">
        <v>0.18</v>
      </c>
    </row>
    <row r="88" spans="1:2" x14ac:dyDescent="0.35">
      <c r="A88" t="s">
        <v>134</v>
      </c>
      <c r="B88">
        <v>0.52</v>
      </c>
    </row>
    <row r="90" spans="1:2" x14ac:dyDescent="0.35">
      <c r="A90" t="s">
        <v>138</v>
      </c>
      <c r="B90">
        <v>0.72</v>
      </c>
    </row>
    <row r="92" spans="1:2" x14ac:dyDescent="0.35">
      <c r="A92" t="s">
        <v>139</v>
      </c>
      <c r="B92">
        <v>0.75</v>
      </c>
    </row>
    <row r="94" spans="1:2" x14ac:dyDescent="0.35">
      <c r="A94" t="s">
        <v>140</v>
      </c>
      <c r="B94">
        <v>5.1999999999999998E-2</v>
      </c>
    </row>
    <row r="95" spans="1:2" x14ac:dyDescent="0.35">
      <c r="A95" t="s">
        <v>141</v>
      </c>
      <c r="B95">
        <v>0.6</v>
      </c>
    </row>
    <row r="96" spans="1:2" x14ac:dyDescent="0.35">
      <c r="A96" t="s">
        <v>142</v>
      </c>
    </row>
    <row r="98" spans="1:5" x14ac:dyDescent="0.35">
      <c r="A98" s="9" t="s">
        <v>147</v>
      </c>
      <c r="B98">
        <v>0.03</v>
      </c>
      <c r="C98">
        <f>(0.85*B98)</f>
        <v>2.5499999999999998E-2</v>
      </c>
      <c r="D98">
        <f>(B98*1.15)</f>
        <v>3.4499999999999996E-2</v>
      </c>
    </row>
    <row r="99" spans="1:5" x14ac:dyDescent="0.35">
      <c r="A99" s="9"/>
    </row>
    <row r="100" spans="1:5" x14ac:dyDescent="0.35">
      <c r="A100" t="s">
        <v>164</v>
      </c>
    </row>
    <row r="101" spans="1:5" x14ac:dyDescent="0.35">
      <c r="A101" t="s">
        <v>165</v>
      </c>
    </row>
    <row r="102" spans="1:5" x14ac:dyDescent="0.35">
      <c r="A102" t="s">
        <v>166</v>
      </c>
    </row>
    <row r="103" spans="1:5" x14ac:dyDescent="0.35">
      <c r="A103" t="s">
        <v>167</v>
      </c>
    </row>
    <row r="104" spans="1:5" x14ac:dyDescent="0.35">
      <c r="A104" t="s">
        <v>168</v>
      </c>
    </row>
    <row r="106" spans="1:5" x14ac:dyDescent="0.35">
      <c r="A106" s="11" t="s">
        <v>172</v>
      </c>
      <c r="B106" s="12">
        <v>71100000</v>
      </c>
      <c r="C106" s="12">
        <v>60400000</v>
      </c>
      <c r="D106" s="12">
        <v>81800000</v>
      </c>
      <c r="E106" s="11"/>
    </row>
    <row r="107" spans="1:5" x14ac:dyDescent="0.35">
      <c r="A107" s="11" t="s">
        <v>173</v>
      </c>
      <c r="B107" s="12">
        <v>0.64400000000000002</v>
      </c>
      <c r="C107" s="12">
        <v>0.64400000000000002</v>
      </c>
      <c r="D107" s="12">
        <v>0.64400000000000002</v>
      </c>
      <c r="E107" s="1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25B05-A11F-487D-AC5B-8572ACD1A7D6}">
  <dimension ref="A1:F11"/>
  <sheetViews>
    <sheetView workbookViewId="0">
      <selection activeCell="B14" sqref="B14"/>
    </sheetView>
  </sheetViews>
  <sheetFormatPr defaultRowHeight="14.5" x14ac:dyDescent="0.35"/>
  <cols>
    <col min="1" max="1" width="20.453125" bestFit="1" customWidth="1"/>
    <col min="2" max="2" width="21" bestFit="1" customWidth="1"/>
    <col min="3" max="3" width="9.54296875" bestFit="1" customWidth="1"/>
    <col min="4" max="4" width="9.54296875" customWidth="1"/>
    <col min="5" max="5" width="20.1796875" bestFit="1" customWidth="1"/>
    <col min="6" max="6" width="12" bestFit="1" customWidth="1"/>
  </cols>
  <sheetData>
    <row r="1" spans="1:6" x14ac:dyDescent="0.35">
      <c r="A1" t="s">
        <v>37</v>
      </c>
      <c r="B1" t="s">
        <v>38</v>
      </c>
      <c r="C1" t="s">
        <v>39</v>
      </c>
      <c r="D1" t="s">
        <v>47</v>
      </c>
      <c r="E1" t="s">
        <v>48</v>
      </c>
      <c r="F1" t="s">
        <v>40</v>
      </c>
    </row>
    <row r="2" spans="1:6" x14ac:dyDescent="0.35">
      <c r="A2" t="s">
        <v>41</v>
      </c>
      <c r="B2">
        <v>1.2</v>
      </c>
      <c r="C2">
        <v>0.3</v>
      </c>
      <c r="D2" t="s">
        <v>49</v>
      </c>
      <c r="E2" t="s">
        <v>53</v>
      </c>
      <c r="F2">
        <f>IF($B2&lt;=Inputs!$B$6,Inputs!$B$5,IF($B2&gt;=Inputs!$B$7,0,Inputs!$B$5*(1-Inputs!$B$8*POWER(($B2-Inputs!$B$6)/(Inputs!$B$7-Inputs!$B$6),Inputs!$B$9))))</f>
        <v>0.35</v>
      </c>
    </row>
    <row r="3" spans="1:6" x14ac:dyDescent="0.35">
      <c r="A3" t="s">
        <v>42</v>
      </c>
      <c r="B3">
        <v>2.2000000000000002</v>
      </c>
      <c r="C3">
        <v>0.3</v>
      </c>
      <c r="D3" t="s">
        <v>50</v>
      </c>
      <c r="E3" t="s">
        <v>54</v>
      </c>
      <c r="F3">
        <f>IF($B3&lt;=Inputs!$B$6,Inputs!$B$5,IF($B3&gt;=Inputs!$B$7,0,Inputs!$B$5*(1-Inputs!$B$8*POWER(($B3-Inputs!$B$6)/(Inputs!$B$7-Inputs!$B$6),Inputs!$B$9))))</f>
        <v>7.2651158005083483E-2</v>
      </c>
    </row>
    <row r="4" spans="1:6" x14ac:dyDescent="0.35">
      <c r="A4" t="s">
        <v>43</v>
      </c>
      <c r="B4">
        <v>3.2</v>
      </c>
      <c r="C4">
        <v>0.25</v>
      </c>
      <c r="D4" t="s">
        <v>51</v>
      </c>
      <c r="E4" t="s">
        <v>56</v>
      </c>
      <c r="F4">
        <f>IF($B4&lt;=Inputs!$B$6,Inputs!$B$5,IF($B4&gt;=Inputs!$B$7,0,Inputs!$B$5*(1-Inputs!$B$8*POWER(($B4-Inputs!$B$6)/(Inputs!$B$7-Inputs!$B$6),Inputs!$B$9))))</f>
        <v>4.6917092333135527E-2</v>
      </c>
    </row>
    <row r="5" spans="1:6" x14ac:dyDescent="0.35">
      <c r="A5" t="s">
        <v>44</v>
      </c>
      <c r="B5">
        <v>4.5</v>
      </c>
      <c r="C5">
        <v>0.15</v>
      </c>
      <c r="D5" t="s">
        <v>52</v>
      </c>
      <c r="E5" t="s">
        <v>55</v>
      </c>
      <c r="F5">
        <f>IF($B5&lt;=Inputs!$B$6,Inputs!$B$5,IF($B5&gt;=Inputs!$B$7,0,Inputs!$B$5*(1-Inputs!$B$8*POWER(($B5-Inputs!$B$6)/(Inputs!$B$7-Inputs!$B$6),Inputs!$B$9))))</f>
        <v>0</v>
      </c>
    </row>
    <row r="10" spans="1:6" x14ac:dyDescent="0.35">
      <c r="A10" t="s">
        <v>45</v>
      </c>
      <c r="B10">
        <f>SUMPRODUCT(C2:C5, F2:F5)</f>
        <v>0.13852462048480893</v>
      </c>
    </row>
    <row r="11" spans="1:6" x14ac:dyDescent="0.35">
      <c r="A11" t="s">
        <v>46</v>
      </c>
      <c r="B11">
        <f>Inputs!$B$4 + B10</f>
        <v>0.63852462048480896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B4153-523C-41CD-8AD1-C925B6D80722}">
  <dimension ref="A1:F7"/>
  <sheetViews>
    <sheetView workbookViewId="0">
      <selection activeCell="B7" sqref="B7"/>
    </sheetView>
  </sheetViews>
  <sheetFormatPr defaultRowHeight="14.5" x14ac:dyDescent="0.35"/>
  <cols>
    <col min="1" max="1" width="20.453125" bestFit="1" customWidth="1"/>
    <col min="2" max="2" width="21" bestFit="1" customWidth="1"/>
    <col min="3" max="3" width="9.54296875" bestFit="1" customWidth="1"/>
    <col min="4" max="4" width="9.54296875" customWidth="1"/>
    <col min="5" max="5" width="20.1796875" bestFit="1" customWidth="1"/>
    <col min="6" max="6" width="12" bestFit="1" customWidth="1"/>
    <col min="7" max="7" width="7.1796875" bestFit="1" customWidth="1"/>
    <col min="8" max="8" width="77.453125" bestFit="1" customWidth="1"/>
  </cols>
  <sheetData>
    <row r="1" spans="1:6" x14ac:dyDescent="0.35">
      <c r="A1" t="s">
        <v>37</v>
      </c>
      <c r="B1" t="s">
        <v>38</v>
      </c>
      <c r="C1" t="s">
        <v>39</v>
      </c>
      <c r="D1" t="s">
        <v>47</v>
      </c>
      <c r="E1" t="s">
        <v>48</v>
      </c>
      <c r="F1" t="s">
        <v>92</v>
      </c>
    </row>
    <row r="2" spans="1:6" x14ac:dyDescent="0.35">
      <c r="A2" t="s">
        <v>41</v>
      </c>
      <c r="B2">
        <v>1.2</v>
      </c>
      <c r="C2">
        <v>0.3</v>
      </c>
      <c r="D2" t="s">
        <v>49</v>
      </c>
      <c r="E2" t="s">
        <v>53</v>
      </c>
      <c r="F2" s="8">
        <f>IF($B2&lt;=Inputs!$B$11,Inputs!$B$10,IF($B2&gt;=Inputs!$B$12,0,Inputs!$B$10*(1-($B2-Inputs!$B$11)/(Inputs!$B$12-Inputs!$B$11))))</f>
        <v>800</v>
      </c>
    </row>
    <row r="3" spans="1:6" x14ac:dyDescent="0.35">
      <c r="A3" t="s">
        <v>42</v>
      </c>
      <c r="B3">
        <v>2.2000000000000002</v>
      </c>
      <c r="C3">
        <v>0.3</v>
      </c>
      <c r="D3" t="s">
        <v>50</v>
      </c>
      <c r="E3" t="s">
        <v>54</v>
      </c>
      <c r="F3" s="8">
        <f>IF($B3&lt;=Inputs!$B$11,Inputs!$B$10,IF($B3&gt;=Inputs!$B$12,0,Inputs!$B$10*(1-($B3-Inputs!$B$11)/(Inputs!$B$12-Inputs!$B$11))))</f>
        <v>746.66666666666663</v>
      </c>
    </row>
    <row r="4" spans="1:6" x14ac:dyDescent="0.35">
      <c r="A4" t="s">
        <v>43</v>
      </c>
      <c r="B4">
        <v>3.2</v>
      </c>
      <c r="C4">
        <v>0.25</v>
      </c>
      <c r="D4" t="s">
        <v>51</v>
      </c>
      <c r="E4" t="s">
        <v>56</v>
      </c>
      <c r="F4" s="8">
        <f>IF($B4&lt;=Inputs!$B$11,Inputs!$B$10,IF($B4&gt;=Inputs!$B$12,0,Inputs!$B$10*(1-($B4-Inputs!$B$11)/(Inputs!$B$12-Inputs!$B$11))))</f>
        <v>479.99999999999989</v>
      </c>
    </row>
    <row r="5" spans="1:6" x14ac:dyDescent="0.35">
      <c r="A5" t="s">
        <v>44</v>
      </c>
      <c r="B5">
        <v>4.5</v>
      </c>
      <c r="C5">
        <v>0.15</v>
      </c>
      <c r="D5" t="s">
        <v>52</v>
      </c>
      <c r="E5" t="s">
        <v>55</v>
      </c>
      <c r="F5" s="8">
        <v>0</v>
      </c>
    </row>
    <row r="7" spans="1:6" x14ac:dyDescent="0.35">
      <c r="A7" t="s">
        <v>93</v>
      </c>
      <c r="B7">
        <f>SUMPRODUCT($C$2:$C$5,$F$2:$F$5)</f>
        <v>584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7F935-74C5-4107-B8B8-408C8BDCC81E}">
  <dimension ref="A1:K20"/>
  <sheetViews>
    <sheetView workbookViewId="0">
      <selection activeCell="B10" sqref="B10"/>
    </sheetView>
  </sheetViews>
  <sheetFormatPr defaultRowHeight="14.5" x14ac:dyDescent="0.35"/>
  <cols>
    <col min="1" max="1" width="56.81640625" bestFit="1" customWidth="1"/>
    <col min="2" max="2" width="15.453125" bestFit="1" customWidth="1"/>
    <col min="3" max="3" width="11.81640625" bestFit="1" customWidth="1"/>
  </cols>
  <sheetData>
    <row r="1" spans="1:11" x14ac:dyDescent="0.35">
      <c r="A1" s="4" t="s">
        <v>35</v>
      </c>
      <c r="B1">
        <v>2026</v>
      </c>
      <c r="C1">
        <v>2027</v>
      </c>
      <c r="D1">
        <v>2028</v>
      </c>
      <c r="E1">
        <v>2029</v>
      </c>
      <c r="F1">
        <v>2030</v>
      </c>
      <c r="G1">
        <v>2031</v>
      </c>
      <c r="H1">
        <v>2032</v>
      </c>
      <c r="I1">
        <v>2033</v>
      </c>
      <c r="J1">
        <v>2034</v>
      </c>
      <c r="K1">
        <v>2035</v>
      </c>
    </row>
    <row r="3" spans="1:11" x14ac:dyDescent="0.35">
      <c r="A3" s="4" t="s">
        <v>27</v>
      </c>
      <c r="B3">
        <f>Inputs!$B$40</f>
        <v>7500</v>
      </c>
      <c r="C3">
        <f>B3*(1+Inputs!$B$2)</f>
        <v>7837.4999999999991</v>
      </c>
      <c r="D3">
        <f>C3*(1+Inputs!$B$2)</f>
        <v>8190.1874999999982</v>
      </c>
      <c r="E3">
        <f>D3*(1+Inputs!$B$2)</f>
        <v>8558.745937499998</v>
      </c>
      <c r="F3">
        <f>E3*(1+Inputs!$B$2)</f>
        <v>8943.8895046874968</v>
      </c>
      <c r="G3">
        <f>F3*(1+Inputs!$B$2)</f>
        <v>9346.3645323984329</v>
      </c>
      <c r="H3">
        <f>G3*(1+Inputs!$B$2)</f>
        <v>9766.9509363563611</v>
      </c>
      <c r="I3">
        <f>H3*(1+Inputs!$B$2)</f>
        <v>10206.463728492397</v>
      </c>
      <c r="J3">
        <f>I3*(1+Inputs!$B$2)</f>
        <v>10665.754596274555</v>
      </c>
      <c r="K3">
        <f>J3*(1+Inputs!$B$2)</f>
        <v>11145.713553106909</v>
      </c>
    </row>
    <row r="4" spans="1:11" x14ac:dyDescent="0.35">
      <c r="A4" s="4" t="s">
        <v>57</v>
      </c>
      <c r="B4" s="3">
        <f>Inputs!$B$20-Inputs!$B$106</f>
        <v>128900000</v>
      </c>
      <c r="C4" s="3">
        <f>B4*(1+Inputs!$B$24)</f>
        <v>129931200</v>
      </c>
      <c r="D4" s="3">
        <f>C4*(1+Inputs!$B$24)</f>
        <v>130970649.59999999</v>
      </c>
      <c r="E4" s="3">
        <f>D4*(1+Inputs!$B$24)</f>
        <v>132018414.79679999</v>
      </c>
      <c r="F4" s="3">
        <f>E4*(1+Inputs!$B$24)</f>
        <v>133074562.11517438</v>
      </c>
      <c r="G4" s="3">
        <f>F4*(1+Inputs!$B$24)</f>
        <v>134139158.61209577</v>
      </c>
      <c r="H4" s="3">
        <f>G4*(1+Inputs!$B$24)</f>
        <v>135212271.88099253</v>
      </c>
      <c r="I4" s="3">
        <f>H4*(1+Inputs!$B$24)</f>
        <v>136293970.05604047</v>
      </c>
      <c r="J4" s="3">
        <f>I4*(1+Inputs!$B$24)</f>
        <v>137384321.8164888</v>
      </c>
      <c r="K4" s="3">
        <f>J4*(1+Inputs!$B$24)</f>
        <v>138483396.39102072</v>
      </c>
    </row>
    <row r="5" spans="1:11" x14ac:dyDescent="0.35">
      <c r="A5" s="4" t="s">
        <v>28</v>
      </c>
      <c r="B5" s="5">
        <f>B3 * B4 / 1000000000</f>
        <v>966.75</v>
      </c>
      <c r="C5" s="5">
        <f t="shared" ref="C5:J5" si="0">C3 * C4 / 1000000000</f>
        <v>1018.3357799999999</v>
      </c>
      <c r="D5" s="5">
        <f t="shared" si="0"/>
        <v>1072.6741772207997</v>
      </c>
      <c r="E5" s="5">
        <f t="shared" si="0"/>
        <v>1129.9120713173015</v>
      </c>
      <c r="F5" s="5">
        <f t="shared" si="0"/>
        <v>1190.2041794427926</v>
      </c>
      <c r="G5" s="5">
        <f t="shared" si="0"/>
        <v>1253.7134744578595</v>
      </c>
      <c r="H5" s="5">
        <f t="shared" si="0"/>
        <v>1320.6116254549308</v>
      </c>
      <c r="I5" s="5">
        <f t="shared" si="0"/>
        <v>1391.0794617892061</v>
      </c>
      <c r="J5" s="5">
        <f t="shared" si="0"/>
        <v>1465.3074618702781</v>
      </c>
      <c r="K5" s="5">
        <f>K3 * K4 / 1000000000</f>
        <v>1543.4962680356759</v>
      </c>
    </row>
    <row r="7" spans="1:11" x14ac:dyDescent="0.35">
      <c r="A7" t="s">
        <v>29</v>
      </c>
      <c r="B7">
        <f>BetaCalc!$B$11</f>
        <v>0.63852462048480896</v>
      </c>
      <c r="C7">
        <f>BetaCalc!$B$11</f>
        <v>0.63852462048480896</v>
      </c>
      <c r="D7">
        <f>BetaCalc!$B$11</f>
        <v>0.63852462048480896</v>
      </c>
      <c r="E7">
        <f>BetaCalc!$B$11</f>
        <v>0.63852462048480896</v>
      </c>
      <c r="F7">
        <f>BetaCalc!$B$11</f>
        <v>0.63852462048480896</v>
      </c>
      <c r="G7">
        <f>BetaCalc!$B$11</f>
        <v>0.63852462048480896</v>
      </c>
      <c r="H7">
        <f>BetaCalc!$B$11</f>
        <v>0.63852462048480896</v>
      </c>
      <c r="I7">
        <f>BetaCalc!$B$11</f>
        <v>0.63852462048480896</v>
      </c>
      <c r="J7">
        <f>BetaCalc!$B$11</f>
        <v>0.63852462048480896</v>
      </c>
      <c r="K7">
        <f>BetaCalc!$B$11</f>
        <v>0.63852462048480896</v>
      </c>
    </row>
    <row r="8" spans="1:11" x14ac:dyDescent="0.35">
      <c r="A8" t="s">
        <v>30</v>
      </c>
      <c r="B8">
        <f>B7*B5</f>
        <v>617.29367685368902</v>
      </c>
      <c r="C8" s="5">
        <f>C7*C5</f>
        <v>650.2324674506018</v>
      </c>
      <c r="D8" s="5">
        <f t="shared" ref="D8:J8" si="1">D7*D5</f>
        <v>684.92887191376587</v>
      </c>
      <c r="E8" s="5">
        <f t="shared" si="1"/>
        <v>721.47667651908432</v>
      </c>
      <c r="F8" s="5">
        <f t="shared" si="1"/>
        <v>759.97467197814262</v>
      </c>
      <c r="G8" s="5">
        <f t="shared" si="1"/>
        <v>800.52692047489597</v>
      </c>
      <c r="H8" s="5">
        <f t="shared" si="1"/>
        <v>843.24303695143635</v>
      </c>
      <c r="I8" s="5">
        <f t="shared" si="1"/>
        <v>888.2384854031651</v>
      </c>
      <c r="J8" s="5">
        <f t="shared" si="1"/>
        <v>935.63489098427794</v>
      </c>
      <c r="K8" s="5">
        <f>K7*K5</f>
        <v>985.56036876719895</v>
      </c>
    </row>
    <row r="10" spans="1:11" x14ac:dyDescent="0.35">
      <c r="A10" t="s">
        <v>58</v>
      </c>
      <c r="B10" s="5">
        <f xml:space="preserve"> (Inputs!B20-Inputs!B106)*(Inputs!B13+'GammaCalc '!B7)/1000000000</f>
        <v>171.95259999999999</v>
      </c>
      <c r="C10">
        <f>B10 * (1 + (Inputs!B2*Inputs!B50 + Inputs!B3*Inputs!B51))</f>
        <v>178.830704</v>
      </c>
      <c r="D10">
        <f>C10 * (1 + (Inputs!B2*Inputs!B50 + Inputs!B3*Inputs!B51))</f>
        <v>185.98393215999999</v>
      </c>
      <c r="E10">
        <f>D10 * (1 + (Inputs!B2*Inputs!B50 + Inputs!B3*Inputs!B51))</f>
        <v>193.42328944639999</v>
      </c>
      <c r="F10">
        <f>E10 * (1 + (Inputs!B2*Inputs!B50 + Inputs!B3*Inputs!B51))</f>
        <v>201.160221024256</v>
      </c>
      <c r="G10">
        <f>F10 * (1 + (Inputs!B2*Inputs!B50 + Inputs!B3*Inputs!B51))</f>
        <v>209.20662986522626</v>
      </c>
      <c r="H10">
        <f>G10 * (1 + (Inputs!B2*Inputs!B50 + Inputs!B3*Inputs!B51))</f>
        <v>217.57489505983531</v>
      </c>
      <c r="I10">
        <f>H10 * (1 + (Inputs!B2*Inputs!B50 + Inputs!B3*Inputs!B51))</f>
        <v>226.27789086222873</v>
      </c>
      <c r="J10">
        <f>I10 * (1 + (Inputs!B2*Inputs!B50 + Inputs!B3*Inputs!B51))</f>
        <v>235.32900649671788</v>
      </c>
      <c r="K10">
        <f>J10 * (1 + (Inputs!B2*Inputs!B50 + Inputs!B3*Inputs!B51))</f>
        <v>244.74216675658661</v>
      </c>
    </row>
    <row r="11" spans="1:11" x14ac:dyDescent="0.35">
      <c r="A11" t="s">
        <v>59</v>
      </c>
      <c r="B11" s="5">
        <f xml:space="preserve"> Inputs!B21*(Inputs!B14+'GammaCalc '!B7)/1000000000</f>
        <v>45.216000000000001</v>
      </c>
      <c r="C11">
        <f>B11 * (1 + (Inputs!B2*Inputs!B50 + Inputs!B3*Inputs!B51))</f>
        <v>47.024640000000005</v>
      </c>
      <c r="D11">
        <f>C11 * (1 + (Inputs!B2*Inputs!B50 + Inputs!B3*Inputs!B51))</f>
        <v>48.905625600000008</v>
      </c>
      <c r="E11">
        <f>D11 * (1 + (Inputs!B2*Inputs!B50 + Inputs!B3*Inputs!B51))</f>
        <v>50.861850624000013</v>
      </c>
      <c r="F11">
        <f>E11 * (1 + (Inputs!B2*Inputs!B50 + Inputs!B3*Inputs!B51))</f>
        <v>52.896324648960018</v>
      </c>
      <c r="G11">
        <f>F11 * (1 + (Inputs!B2*Inputs!B50 + Inputs!B3*Inputs!B51))</f>
        <v>55.012177634918423</v>
      </c>
      <c r="H11">
        <f>G11 * (1 + (Inputs!B2*Inputs!B50 + Inputs!B3*Inputs!B51))</f>
        <v>57.212664740315162</v>
      </c>
      <c r="I11">
        <f>H11 * (1 + (Inputs!B2*Inputs!B50 + Inputs!B3*Inputs!B51))</f>
        <v>59.501171329927772</v>
      </c>
      <c r="J11">
        <f>I11 * (1 + (Inputs!B2*Inputs!B50 + Inputs!B3*Inputs!B51))</f>
        <v>61.881218183124886</v>
      </c>
      <c r="K11">
        <f>J11 * (1 + (Inputs!B2*Inputs!B50 + Inputs!B3*Inputs!B51))</f>
        <v>64.356466910449882</v>
      </c>
    </row>
    <row r="12" spans="1:11" x14ac:dyDescent="0.35">
      <c r="A12" t="s">
        <v>60</v>
      </c>
      <c r="B12" s="5">
        <f>Inputs!B22*(Inputs!B15+'GammaCalc '!B7)/1000000000</f>
        <v>79.2</v>
      </c>
      <c r="C12">
        <f>B12 * (1 + (Inputs!B2*Inputs!B50 + Inputs!B3*Inputs!B51))</f>
        <v>82.368000000000009</v>
      </c>
      <c r="D12">
        <f>C12 * (1 + (Inputs!B2*Inputs!B50 + Inputs!B3*Inputs!B51))</f>
        <v>85.662720000000007</v>
      </c>
      <c r="E12">
        <f>D12 * (1 + (Inputs!B2*Inputs!B50 + Inputs!B3*Inputs!B51))</f>
        <v>89.089228800000015</v>
      </c>
      <c r="F12">
        <f>E12 * (1 + (Inputs!B2*Inputs!B50 + Inputs!B3*Inputs!B51))</f>
        <v>92.652797952000014</v>
      </c>
      <c r="G12">
        <f>F12 * (1 + (Inputs!B2*Inputs!B50 + Inputs!B3*Inputs!B51))</f>
        <v>96.358909870080012</v>
      </c>
      <c r="H12">
        <f>G12 * (1 + (Inputs!B2*Inputs!B50 + Inputs!B3*Inputs!B51))</f>
        <v>100.21326626488322</v>
      </c>
      <c r="I12">
        <f>H12 * (1 + (Inputs!B2*Inputs!B50 + Inputs!B3*Inputs!B51))</f>
        <v>104.22179691547855</v>
      </c>
      <c r="J12">
        <f>I12 * (1 + (Inputs!B2*Inputs!B50 + Inputs!B3*Inputs!B51))</f>
        <v>108.3906687920977</v>
      </c>
      <c r="K12">
        <f>J12 * (1 + (Inputs!B2*Inputs!B50 + Inputs!B3*Inputs!B51))</f>
        <v>112.72629554378162</v>
      </c>
    </row>
    <row r="13" spans="1:11" x14ac:dyDescent="0.35">
      <c r="A13" t="s">
        <v>61</v>
      </c>
      <c r="B13" s="5">
        <f>Inputs!$B$16 * Inputs!$B$25 * Inputs!$B$23 / 1000000000</f>
        <v>54.8</v>
      </c>
      <c r="C13">
        <f>B13 * (1 + (Inputs!B2*Inputs!B50 + Inputs!B3*Inputs!B51))</f>
        <v>56.991999999999997</v>
      </c>
      <c r="D13">
        <f>C13 * (1 + (Inputs!B2*Inputs!B50 + Inputs!B3*Inputs!B51))</f>
        <v>59.271679999999996</v>
      </c>
      <c r="E13">
        <f>D13 * (1 + (Inputs!B2*Inputs!B50 + Inputs!B3*Inputs!B51))</f>
        <v>61.642547199999996</v>
      </c>
      <c r="F13">
        <f>E13 * (1 + (Inputs!B2*Inputs!B50 + Inputs!B3*Inputs!B51))</f>
        <v>64.108249087999994</v>
      </c>
      <c r="G13">
        <f>F13 * (1 + (Inputs!B2*Inputs!B50 + Inputs!B3*Inputs!B51))</f>
        <v>66.672579051519989</v>
      </c>
      <c r="H13">
        <f>G13 * (1 + (Inputs!B2*Inputs!B50 + Inputs!B3*Inputs!B51))</f>
        <v>69.339482213580794</v>
      </c>
      <c r="I13">
        <f>H13 * (1 + (Inputs!B2*Inputs!B50 + Inputs!B3*Inputs!B51))</f>
        <v>72.113061502124026</v>
      </c>
      <c r="J13">
        <f>I13 * (1 + (Inputs!B2*Inputs!B50 + Inputs!B3*Inputs!B51))</f>
        <v>74.997583962208992</v>
      </c>
      <c r="K13">
        <f>J13 * (1 + (Inputs!B2*Inputs!B50 + Inputs!B3*Inputs!B51))</f>
        <v>77.99748732069736</v>
      </c>
    </row>
    <row r="14" spans="1:11" x14ac:dyDescent="0.35">
      <c r="A14" s="2" t="s">
        <v>62</v>
      </c>
      <c r="B14" s="5">
        <f>SUM(B10:B13)</f>
        <v>351.16860000000003</v>
      </c>
      <c r="C14">
        <f>SUM(C10:C13)</f>
        <v>365.21534400000002</v>
      </c>
      <c r="D14">
        <f t="shared" ref="D14:K14" si="2">SUM(D10:D13)</f>
        <v>379.82395776000004</v>
      </c>
      <c r="E14">
        <f t="shared" si="2"/>
        <v>395.01691607040004</v>
      </c>
      <c r="F14">
        <f t="shared" si="2"/>
        <v>410.81759271321602</v>
      </c>
      <c r="G14">
        <f t="shared" si="2"/>
        <v>427.25029642174468</v>
      </c>
      <c r="H14">
        <f t="shared" si="2"/>
        <v>444.34030827861443</v>
      </c>
      <c r="I14">
        <f t="shared" si="2"/>
        <v>462.11392060975908</v>
      </c>
      <c r="J14">
        <f t="shared" si="2"/>
        <v>480.59847743414946</v>
      </c>
      <c r="K14">
        <f t="shared" si="2"/>
        <v>499.8224165315155</v>
      </c>
    </row>
    <row r="16" spans="1:11" x14ac:dyDescent="0.35">
      <c r="A16" s="10" t="s">
        <v>31</v>
      </c>
      <c r="B16">
        <f>Inputs!$B$53 * B5 * (Inputs!$B$84 / Inputs!$B$83)</f>
        <v>26.182812500000008</v>
      </c>
      <c r="C16">
        <f>Inputs!$B$53 * C5 * (Inputs!$B$84 / Inputs!$B$83)</f>
        <v>27.579927375</v>
      </c>
      <c r="D16">
        <f>Inputs!$B$53 * D5 * (Inputs!$B$84 / Inputs!$B$83)</f>
        <v>29.05159229973</v>
      </c>
      <c r="E16">
        <f>Inputs!$B$53 * E5 * (Inputs!$B$84 / Inputs!$B$83)</f>
        <v>30.601785264843592</v>
      </c>
      <c r="F16">
        <f>Inputs!$B$53 * F5 * (Inputs!$B$84 / Inputs!$B$83)</f>
        <v>32.23469652657564</v>
      </c>
      <c r="G16">
        <f>Inputs!$B$53 * G5 * (Inputs!$B$84 / Inputs!$B$83)</f>
        <v>33.954739933233704</v>
      </c>
      <c r="H16">
        <f>Inputs!$B$53 * H5 * (Inputs!$B$84 / Inputs!$B$83)</f>
        <v>35.766564856071049</v>
      </c>
      <c r="I16">
        <f>Inputs!$B$53 * I5 * (Inputs!$B$84 / Inputs!$B$83)</f>
        <v>37.675068756791006</v>
      </c>
      <c r="J16">
        <f>Inputs!$B$53 * J5 * (Inputs!$B$84 / Inputs!$B$83)</f>
        <v>39.685410425653366</v>
      </c>
      <c r="K16">
        <f>Inputs!$B$53 * K5 * (Inputs!$B$84 / Inputs!$B$83)</f>
        <v>41.803023925966237</v>
      </c>
    </row>
    <row r="18" spans="1:11" x14ac:dyDescent="0.35">
      <c r="A18" t="s">
        <v>32</v>
      </c>
      <c r="B18">
        <f>Inputs!$B$54</f>
        <v>4</v>
      </c>
      <c r="C18">
        <f>Inputs!$B$55</f>
        <v>3</v>
      </c>
      <c r="D18">
        <f>Inputs!$B$56</f>
        <v>2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20" spans="1:11" x14ac:dyDescent="0.35">
      <c r="A20" t="s">
        <v>33</v>
      </c>
      <c r="B20" s="5">
        <f>B8 + B14 + B16 + B18</f>
        <v>998.64508935368895</v>
      </c>
      <c r="C20" s="5">
        <f>C8 + C14 + C16 + C18</f>
        <v>1046.0277388256018</v>
      </c>
      <c r="D20" s="5">
        <f t="shared" ref="D20:J20" si="3">D8 + D14 + D16 + D18</f>
        <v>1095.8044219734959</v>
      </c>
      <c r="E20" s="5">
        <f t="shared" si="3"/>
        <v>1147.0953778543278</v>
      </c>
      <c r="F20" s="5">
        <f t="shared" si="3"/>
        <v>1203.0269612179343</v>
      </c>
      <c r="G20" s="5">
        <f t="shared" si="3"/>
        <v>1261.7319568298744</v>
      </c>
      <c r="H20" s="5">
        <f t="shared" si="3"/>
        <v>1323.3499100861218</v>
      </c>
      <c r="I20" s="5">
        <f t="shared" si="3"/>
        <v>1388.0274747697151</v>
      </c>
      <c r="J20" s="5">
        <f t="shared" si="3"/>
        <v>1455.9187788440806</v>
      </c>
      <c r="K20" s="5">
        <f>K8 + K14 + K16 + K18</f>
        <v>1527.1858092246807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98706-1C42-4D16-9FB7-0599C910398C}">
  <dimension ref="A1:K42"/>
  <sheetViews>
    <sheetView topLeftCell="A14" workbookViewId="0">
      <selection activeCell="A36" sqref="A36"/>
    </sheetView>
  </sheetViews>
  <sheetFormatPr defaultRowHeight="14.5" x14ac:dyDescent="0.35"/>
  <cols>
    <col min="1" max="1" width="75.453125" customWidth="1"/>
  </cols>
  <sheetData>
    <row r="1" spans="1:11" x14ac:dyDescent="0.35">
      <c r="B1">
        <v>2026</v>
      </c>
      <c r="C1">
        <v>2027</v>
      </c>
      <c r="D1">
        <v>2028</v>
      </c>
      <c r="E1">
        <v>2029</v>
      </c>
      <c r="F1">
        <v>2030</v>
      </c>
      <c r="G1">
        <v>2031</v>
      </c>
      <c r="H1">
        <v>2032</v>
      </c>
      <c r="I1">
        <v>2033</v>
      </c>
      <c r="J1">
        <v>2034</v>
      </c>
      <c r="K1">
        <v>2035</v>
      </c>
    </row>
    <row r="3" spans="1:11" x14ac:dyDescent="0.35">
      <c r="A3" t="s">
        <v>143</v>
      </c>
      <c r="B3">
        <v>82</v>
      </c>
      <c r="C3">
        <v>82</v>
      </c>
      <c r="D3">
        <v>85</v>
      </c>
      <c r="E3">
        <v>90</v>
      </c>
      <c r="F3">
        <v>93</v>
      </c>
      <c r="G3">
        <v>96</v>
      </c>
      <c r="H3">
        <v>102</v>
      </c>
      <c r="I3">
        <v>109</v>
      </c>
      <c r="J3">
        <f>I3*(1+Inputs!$B$17)</f>
        <v>115.54</v>
      </c>
      <c r="K3">
        <f>J3*(1+Inputs!$B$17)</f>
        <v>122.47240000000001</v>
      </c>
    </row>
    <row r="4" spans="1:11" x14ac:dyDescent="0.35">
      <c r="A4" t="s">
        <v>68</v>
      </c>
      <c r="B4">
        <f>Inputs!$B$31*(1+Inputs!$B$17)</f>
        <v>12.72</v>
      </c>
      <c r="C4">
        <f>B4*(1+Inputs!$B$17)</f>
        <v>13.483200000000002</v>
      </c>
      <c r="D4">
        <f>C4*(1+Inputs!$B$17)</f>
        <v>14.292192000000004</v>
      </c>
      <c r="E4">
        <f>D4*(1+Inputs!$B$17)</f>
        <v>15.149723520000004</v>
      </c>
      <c r="F4">
        <f>E4*(1+Inputs!$B$17)</f>
        <v>16.058706931200003</v>
      </c>
      <c r="G4">
        <f>F4*(1+Inputs!$B$17)</f>
        <v>17.022229347072006</v>
      </c>
      <c r="H4">
        <f>G4*(1+Inputs!$B$17)</f>
        <v>18.043563107896329</v>
      </c>
      <c r="I4">
        <f>H4*(1+Inputs!$B$17)</f>
        <v>19.126176894370111</v>
      </c>
      <c r="J4">
        <f>I4*(1+Inputs!$B$17)</f>
        <v>20.273747508032319</v>
      </c>
      <c r="K4">
        <f>J4*(1+Inputs!$B$17)</f>
        <v>21.490172358514258</v>
      </c>
    </row>
    <row r="5" spans="1:11" x14ac:dyDescent="0.35">
      <c r="A5" t="s">
        <v>144</v>
      </c>
      <c r="B5">
        <v>120</v>
      </c>
      <c r="C5">
        <v>129</v>
      </c>
      <c r="D5">
        <v>138</v>
      </c>
      <c r="E5">
        <v>149</v>
      </c>
      <c r="F5">
        <v>159</v>
      </c>
      <c r="G5">
        <v>171</v>
      </c>
      <c r="H5">
        <v>184</v>
      </c>
      <c r="I5">
        <v>198</v>
      </c>
      <c r="J5">
        <f>I5*(1+Inputs!$B$17)</f>
        <v>209.88000000000002</v>
      </c>
      <c r="K5">
        <f>J5*(1+Inputs!$B$17)</f>
        <v>222.47280000000003</v>
      </c>
    </row>
    <row r="6" spans="1:11" x14ac:dyDescent="0.35">
      <c r="A6" t="s">
        <v>69</v>
      </c>
      <c r="B6">
        <f>Inputs!$B$33*(1+Inputs!$B$17)</f>
        <v>3.18</v>
      </c>
      <c r="C6">
        <f>B6*(1+Inputs!$B$17)</f>
        <v>3.3708000000000005</v>
      </c>
      <c r="D6">
        <f>C6*(1+Inputs!$B$17)</f>
        <v>3.5730480000000009</v>
      </c>
      <c r="E6">
        <f>D6*(1+Inputs!$B$17)</f>
        <v>3.7874308800000009</v>
      </c>
      <c r="F6">
        <f>E6*(1+Inputs!$B$17)</f>
        <v>4.0146767328000008</v>
      </c>
      <c r="G6">
        <f>F6*(1+Inputs!$B$17)</f>
        <v>4.2555573367680015</v>
      </c>
      <c r="H6">
        <f>G6*(1+Inputs!$B$17)</f>
        <v>4.5108907769740823</v>
      </c>
      <c r="I6">
        <f>H6*(1+Inputs!$B$17)</f>
        <v>4.7815442235925278</v>
      </c>
      <c r="J6">
        <f>I6*(1+Inputs!$B$17)</f>
        <v>5.0684368770080797</v>
      </c>
      <c r="K6">
        <f>J6*(1+Inputs!$B$17)</f>
        <v>5.3725430896285644</v>
      </c>
    </row>
    <row r="7" spans="1:11" x14ac:dyDescent="0.35">
      <c r="A7" t="s">
        <v>145</v>
      </c>
      <c r="B7">
        <v>451</v>
      </c>
      <c r="C7">
        <v>495</v>
      </c>
      <c r="D7">
        <v>523</v>
      </c>
      <c r="E7">
        <v>550</v>
      </c>
      <c r="F7">
        <v>578</v>
      </c>
      <c r="G7">
        <v>608</v>
      </c>
      <c r="H7">
        <v>641</v>
      </c>
      <c r="I7">
        <v>676</v>
      </c>
      <c r="J7">
        <f>I7*(1+Inputs!$B$17)</f>
        <v>716.56000000000006</v>
      </c>
      <c r="K7">
        <f>J7*(1+Inputs!$B$17)</f>
        <v>759.55360000000007</v>
      </c>
    </row>
    <row r="8" spans="1:11" x14ac:dyDescent="0.35">
      <c r="A8" t="s">
        <v>85</v>
      </c>
      <c r="B8">
        <f>Inputs!$B$44 * (1 + Inputs!$B$17)</f>
        <v>424</v>
      </c>
      <c r="C8">
        <f>B8*(1+Inputs!$B$17)</f>
        <v>449.44</v>
      </c>
      <c r="D8">
        <f>C8*(1+Inputs!$B$17)</f>
        <v>476.40640000000002</v>
      </c>
      <c r="E8">
        <f>D8*(1+Inputs!$B$17)</f>
        <v>504.99078400000002</v>
      </c>
      <c r="F8">
        <f>E8*(1+Inputs!$B$17)</f>
        <v>535.29023104000009</v>
      </c>
      <c r="G8">
        <f>F8*(1+Inputs!$B$17)</f>
        <v>567.40764490240008</v>
      </c>
      <c r="H8">
        <f>G8*(1+Inputs!$B$17)</f>
        <v>601.45210359654413</v>
      </c>
      <c r="I8">
        <f>H8*(1+Inputs!$B$17)</f>
        <v>637.53922981233677</v>
      </c>
      <c r="J8">
        <f>I8*(1+Inputs!$B$17)</f>
        <v>675.79158360107704</v>
      </c>
      <c r="K8">
        <f>J8*(1+Inputs!$B$17)</f>
        <v>716.33907861714169</v>
      </c>
    </row>
    <row r="9" spans="1:11" x14ac:dyDescent="0.35">
      <c r="A9" t="s">
        <v>97</v>
      </c>
      <c r="B9">
        <f>Inputs!$B$45 * (1 + Inputs!$B$17)</f>
        <v>53</v>
      </c>
      <c r="C9">
        <f>B9*(1+Inputs!$B$17)</f>
        <v>56.18</v>
      </c>
      <c r="D9">
        <f>C9*(1+Inputs!$B$17)</f>
        <v>59.550800000000002</v>
      </c>
      <c r="E9">
        <f>D9*(1+Inputs!$B$17)</f>
        <v>63.123848000000002</v>
      </c>
      <c r="F9">
        <f>E9*(1+Inputs!$B$17)</f>
        <v>66.911278880000012</v>
      </c>
      <c r="G9">
        <f>F9*(1+Inputs!$B$17)</f>
        <v>70.92595561280001</v>
      </c>
      <c r="H9">
        <f>G9*(1+Inputs!$B$17)</f>
        <v>75.181512949568017</v>
      </c>
      <c r="I9">
        <f>H9*(1+Inputs!$B$17)</f>
        <v>79.692403726542096</v>
      </c>
      <c r="J9">
        <f>I9*(1+Inputs!$B$17)</f>
        <v>84.47394795013463</v>
      </c>
      <c r="K9">
        <f>J9*(1+Inputs!$B$17)</f>
        <v>89.542384827142712</v>
      </c>
    </row>
    <row r="10" spans="1:11" x14ac:dyDescent="0.35">
      <c r="A10" t="s">
        <v>98</v>
      </c>
      <c r="B10">
        <f>Inputs!$B$46 * (1 + Inputs!$B$17)</f>
        <v>371</v>
      </c>
      <c r="C10">
        <f>B10*(1+Inputs!$B$17)</f>
        <v>393.26000000000005</v>
      </c>
      <c r="D10">
        <f>C10*(1+Inputs!$B$17)</f>
        <v>416.85560000000009</v>
      </c>
      <c r="E10">
        <f>D10*(1+Inputs!$B$17)</f>
        <v>441.86693600000012</v>
      </c>
      <c r="F10">
        <f>E10*(1+Inputs!$B$17)</f>
        <v>468.37895216000015</v>
      </c>
      <c r="G10">
        <f>F10*(1+Inputs!$B$17)</f>
        <v>496.48168928960018</v>
      </c>
      <c r="H10">
        <f>G10*(1+Inputs!$B$17)</f>
        <v>526.27059064697619</v>
      </c>
      <c r="I10">
        <f>H10*(1+Inputs!$B$17)</f>
        <v>557.84682608579476</v>
      </c>
      <c r="J10">
        <f>I10*(1+Inputs!$B$17)</f>
        <v>591.31763565094252</v>
      </c>
      <c r="K10">
        <f>J10*(1+Inputs!$B$17)</f>
        <v>626.79669378999915</v>
      </c>
    </row>
    <row r="11" spans="1:11" x14ac:dyDescent="0.35">
      <c r="A11" t="s">
        <v>99</v>
      </c>
      <c r="B11">
        <f>Inputs!B58 * (1 + Inputs!B17)</f>
        <v>3.2860000000000005</v>
      </c>
      <c r="C11">
        <f>B11* (1 + Inputs!B17)</f>
        <v>3.4831600000000007</v>
      </c>
      <c r="D11">
        <f>C11* (1 + Inputs!B17)</f>
        <v>3.6921496000000009</v>
      </c>
      <c r="E11">
        <f>D11* (1 + Inputs!B17)</f>
        <v>3.913678576000001</v>
      </c>
      <c r="F11">
        <f>E11* (1 + Inputs!B17)</f>
        <v>4.1484992905600011</v>
      </c>
      <c r="G11">
        <f>F11* (1 + Inputs!B17)</f>
        <v>4.3974092479936013</v>
      </c>
      <c r="H11">
        <f>G11* (1 + Inputs!B17)</f>
        <v>4.661253802873218</v>
      </c>
      <c r="I11">
        <f>H11* (1 + Inputs!B17)</f>
        <v>4.9409290310456111</v>
      </c>
      <c r="J11">
        <f>I11* (1 + Inputs!B17)</f>
        <v>5.2373847729083476</v>
      </c>
      <c r="K11">
        <f>J11* (1 + Inputs!B17)</f>
        <v>5.5516278592828483</v>
      </c>
    </row>
    <row r="12" spans="1:11" x14ac:dyDescent="0.35">
      <c r="A12" t="s">
        <v>100</v>
      </c>
      <c r="B12">
        <f>Inputs!B59 * (1+ Inputs!B17)</f>
        <v>5.3000000000000007</v>
      </c>
      <c r="C12">
        <f>B12 * (1 + Inputs!B17)</f>
        <v>5.6180000000000012</v>
      </c>
      <c r="D12">
        <f>C12 * (1 + Inputs!B17)</f>
        <v>5.9550800000000015</v>
      </c>
      <c r="E12">
        <f>D12 * (1 + Inputs!B17)</f>
        <v>6.312384800000002</v>
      </c>
      <c r="F12">
        <f>E12 * (1 + Inputs!B17)</f>
        <v>6.6911278880000022</v>
      </c>
      <c r="G12">
        <f>F12 * (1 + Inputs!B17)</f>
        <v>7.0925955612800031</v>
      </c>
      <c r="H12">
        <f>G12 * (1 + Inputs!B17)</f>
        <v>7.5181512949568035</v>
      </c>
      <c r="I12">
        <f>H12 * (1 + Inputs!B17)</f>
        <v>7.9692403726542125</v>
      </c>
      <c r="J12">
        <f>I12 * (1 + Inputs!B17)</f>
        <v>8.4473947950134658</v>
      </c>
      <c r="K12">
        <f>J12 * (1 + Inputs!B17)</f>
        <v>8.954238482714274</v>
      </c>
    </row>
    <row r="13" spans="1:11" x14ac:dyDescent="0.35">
      <c r="A13" t="s">
        <v>101</v>
      </c>
      <c r="B13" s="3">
        <f>(Inputs!B60*(1+Inputs!B17))</f>
        <v>5.3000000000000005E-2</v>
      </c>
      <c r="C13" s="3">
        <f>B13* (1 + Inputs!B17)</f>
        <v>5.6180000000000008E-2</v>
      </c>
      <c r="D13" s="3">
        <f>C13* (1 + Inputs!B17)</f>
        <v>5.9550800000000008E-2</v>
      </c>
      <c r="E13" s="3">
        <f>D13* (1 + Inputs!B17)</f>
        <v>6.312384800000001E-2</v>
      </c>
      <c r="F13" s="3">
        <f>E13* (1 + Inputs!B17)</f>
        <v>6.6911278880000008E-2</v>
      </c>
      <c r="G13" s="3">
        <f>F13* (1 + Inputs!B17)</f>
        <v>7.0925955612800018E-2</v>
      </c>
      <c r="H13" s="3">
        <f>G13* (1 + Inputs!B17)</f>
        <v>7.5181512949568027E-2</v>
      </c>
      <c r="I13" s="3">
        <f>H13* (1 + Inputs!B17)</f>
        <v>7.9692403726542113E-2</v>
      </c>
      <c r="J13" s="3">
        <f>I13* (1 + Inputs!B17)</f>
        <v>8.4473947950134645E-2</v>
      </c>
      <c r="K13" s="3">
        <f>J13* (1 + Inputs!B17)</f>
        <v>8.9542384827142732E-2</v>
      </c>
    </row>
    <row r="14" spans="1:11" x14ac:dyDescent="0.35">
      <c r="A14" t="s">
        <v>102</v>
      </c>
      <c r="B14" s="5">
        <f>(Inputs!B61*(1+Inputs!B17))</f>
        <v>3.18</v>
      </c>
      <c r="C14" s="5">
        <f>B14 *(1 + Inputs!B17)</f>
        <v>3.3708000000000005</v>
      </c>
      <c r="D14" s="5">
        <f>C14 *(1 + Inputs!B17)</f>
        <v>3.5730480000000009</v>
      </c>
      <c r="E14" s="5">
        <f>D14 *(1 + Inputs!B17)</f>
        <v>3.7874308800000009</v>
      </c>
      <c r="F14" s="5">
        <f>E14 *(1 + Inputs!B17)</f>
        <v>4.0146767328000008</v>
      </c>
      <c r="G14" s="5">
        <f>F14 *(1 + Inputs!B17)</f>
        <v>4.2555573367680015</v>
      </c>
      <c r="H14" s="5">
        <f>G14 *(1 + Inputs!G17)</f>
        <v>4.2555573367680015</v>
      </c>
      <c r="I14" s="5">
        <f>H14 *(1 + Inputs!H17)</f>
        <v>4.2555573367680015</v>
      </c>
      <c r="J14" s="5">
        <f>I14 *(1 + Inputs!I17)</f>
        <v>4.2555573367680015</v>
      </c>
      <c r="K14" s="5">
        <f>J14 *(1 + Inputs!J17)</f>
        <v>4.2555573367680015</v>
      </c>
    </row>
    <row r="15" spans="1:11" x14ac:dyDescent="0.35">
      <c r="A15" t="s">
        <v>131</v>
      </c>
      <c r="B15" s="5">
        <f>Inputs!B67</f>
        <v>2</v>
      </c>
      <c r="C15" s="5">
        <f t="shared" ref="C15:C21" si="0">B15*1.06</f>
        <v>2.12</v>
      </c>
      <c r="D15" s="5">
        <f t="shared" ref="D15:K15" si="1">C15*1.06</f>
        <v>2.2472000000000003</v>
      </c>
      <c r="E15" s="5">
        <f t="shared" si="1"/>
        <v>2.3820320000000006</v>
      </c>
      <c r="F15" s="5">
        <f t="shared" si="1"/>
        <v>2.5249539200000006</v>
      </c>
      <c r="G15" s="5">
        <f t="shared" si="1"/>
        <v>2.676451155200001</v>
      </c>
      <c r="H15" s="5">
        <f t="shared" si="1"/>
        <v>2.8370382245120012</v>
      </c>
      <c r="I15" s="5">
        <f t="shared" si="1"/>
        <v>3.0072605179827212</v>
      </c>
      <c r="J15" s="5">
        <f t="shared" si="1"/>
        <v>3.1876961490616846</v>
      </c>
      <c r="K15" s="5">
        <f t="shared" si="1"/>
        <v>3.3789579180053857</v>
      </c>
    </row>
    <row r="16" spans="1:11" x14ac:dyDescent="0.35">
      <c r="A16" t="s">
        <v>123</v>
      </c>
      <c r="B16" s="5">
        <f>$B$9* Inputs!B68*Inputs!B65</f>
        <v>5.9625000000000004</v>
      </c>
      <c r="C16" s="5">
        <f t="shared" si="0"/>
        <v>6.3202500000000006</v>
      </c>
      <c r="D16" s="5">
        <f t="shared" ref="D16:K16" si="2">C16*1.06</f>
        <v>6.6994650000000009</v>
      </c>
      <c r="E16" s="5">
        <f t="shared" si="2"/>
        <v>7.1014329000000016</v>
      </c>
      <c r="F16" s="5">
        <f t="shared" si="2"/>
        <v>7.5275188740000019</v>
      </c>
      <c r="G16" s="5">
        <f t="shared" si="2"/>
        <v>7.9791700064400022</v>
      </c>
      <c r="H16" s="5">
        <f t="shared" si="2"/>
        <v>8.4579202068264028</v>
      </c>
      <c r="I16" s="5">
        <f t="shared" si="2"/>
        <v>8.9653954192359873</v>
      </c>
      <c r="J16" s="5">
        <f t="shared" si="2"/>
        <v>9.5033191443901472</v>
      </c>
      <c r="K16" s="5">
        <f t="shared" si="2"/>
        <v>10.073518293053557</v>
      </c>
    </row>
    <row r="17" spans="1:11" x14ac:dyDescent="0.35">
      <c r="A17" t="s">
        <v>124</v>
      </c>
      <c r="B17" s="5">
        <f>Inputs!B69</f>
        <v>2</v>
      </c>
      <c r="C17" s="5">
        <f t="shared" si="0"/>
        <v>2.12</v>
      </c>
      <c r="D17" s="5">
        <f t="shared" ref="D17:K17" si="3">C17*1.06</f>
        <v>2.2472000000000003</v>
      </c>
      <c r="E17" s="5">
        <f t="shared" si="3"/>
        <v>2.3820320000000006</v>
      </c>
      <c r="F17" s="5">
        <f t="shared" si="3"/>
        <v>2.5249539200000006</v>
      </c>
      <c r="G17" s="5">
        <f t="shared" si="3"/>
        <v>2.676451155200001</v>
      </c>
      <c r="H17" s="5">
        <f t="shared" si="3"/>
        <v>2.8370382245120012</v>
      </c>
      <c r="I17" s="5">
        <f t="shared" si="3"/>
        <v>3.0072605179827212</v>
      </c>
      <c r="J17" s="5">
        <f t="shared" si="3"/>
        <v>3.1876961490616846</v>
      </c>
      <c r="K17" s="5">
        <f t="shared" si="3"/>
        <v>3.3789579180053857</v>
      </c>
    </row>
    <row r="18" spans="1:11" x14ac:dyDescent="0.35">
      <c r="A18" t="s">
        <v>125</v>
      </c>
      <c r="B18" s="5">
        <f>Inputs!B74</f>
        <v>1.5</v>
      </c>
      <c r="C18" s="5">
        <f t="shared" si="0"/>
        <v>1.59</v>
      </c>
      <c r="D18" s="5">
        <f t="shared" ref="D18:K18" si="4">C18*1.06</f>
        <v>1.6854000000000002</v>
      </c>
      <c r="E18" s="5">
        <f t="shared" si="4"/>
        <v>1.7865240000000004</v>
      </c>
      <c r="F18" s="5">
        <f t="shared" si="4"/>
        <v>1.8937154400000005</v>
      </c>
      <c r="G18" s="5">
        <f t="shared" si="4"/>
        <v>2.0073383664000004</v>
      </c>
      <c r="H18" s="5">
        <f t="shared" si="4"/>
        <v>2.1277786683840008</v>
      </c>
      <c r="I18" s="5">
        <f t="shared" si="4"/>
        <v>2.2554453884870411</v>
      </c>
      <c r="J18" s="5">
        <f t="shared" si="4"/>
        <v>2.3907721117962639</v>
      </c>
      <c r="K18" s="5">
        <f t="shared" si="4"/>
        <v>2.5342184385040398</v>
      </c>
    </row>
    <row r="19" spans="1:11" x14ac:dyDescent="0.35">
      <c r="A19" t="s">
        <v>126</v>
      </c>
      <c r="B19" s="5">
        <f>Inputs!B75</f>
        <v>2</v>
      </c>
      <c r="C19" s="5">
        <f t="shared" si="0"/>
        <v>2.12</v>
      </c>
      <c r="D19" s="5">
        <f t="shared" ref="D19:K19" si="5">C19*1.06</f>
        <v>2.2472000000000003</v>
      </c>
      <c r="E19" s="5">
        <f t="shared" si="5"/>
        <v>2.3820320000000006</v>
      </c>
      <c r="F19" s="5">
        <f t="shared" si="5"/>
        <v>2.5249539200000006</v>
      </c>
      <c r="G19" s="5">
        <f t="shared" si="5"/>
        <v>2.676451155200001</v>
      </c>
      <c r="H19" s="5">
        <f t="shared" si="5"/>
        <v>2.8370382245120012</v>
      </c>
      <c r="I19" s="5">
        <f t="shared" si="5"/>
        <v>3.0072605179827212</v>
      </c>
      <c r="J19" s="5">
        <f t="shared" si="5"/>
        <v>3.1876961490616846</v>
      </c>
      <c r="K19" s="5">
        <f t="shared" si="5"/>
        <v>3.3789579180053857</v>
      </c>
    </row>
    <row r="20" spans="1:11" x14ac:dyDescent="0.35">
      <c r="A20" t="s">
        <v>127</v>
      </c>
      <c r="B20" s="5">
        <f>Inputs!B76</f>
        <v>0.25</v>
      </c>
      <c r="C20" s="5">
        <f t="shared" si="0"/>
        <v>0.26500000000000001</v>
      </c>
      <c r="D20" s="5">
        <f t="shared" ref="D20:K20" si="6">C20*1.06</f>
        <v>0.28090000000000004</v>
      </c>
      <c r="E20" s="5">
        <f t="shared" si="6"/>
        <v>0.29775400000000007</v>
      </c>
      <c r="F20" s="5">
        <f t="shared" si="6"/>
        <v>0.31561924000000008</v>
      </c>
      <c r="G20" s="5">
        <f t="shared" si="6"/>
        <v>0.33455639440000012</v>
      </c>
      <c r="H20" s="5">
        <f t="shared" si="6"/>
        <v>0.35462977806400015</v>
      </c>
      <c r="I20" s="5">
        <f t="shared" si="6"/>
        <v>0.37590756474784015</v>
      </c>
      <c r="J20" s="5">
        <f t="shared" si="6"/>
        <v>0.39846201863271058</v>
      </c>
      <c r="K20" s="5">
        <f t="shared" si="6"/>
        <v>0.42236973975067321</v>
      </c>
    </row>
    <row r="21" spans="1:11" x14ac:dyDescent="0.35">
      <c r="A21" t="s">
        <v>128</v>
      </c>
      <c r="B21" s="5">
        <f>Inputs!B77</f>
        <v>0.25</v>
      </c>
      <c r="C21" s="5">
        <f t="shared" si="0"/>
        <v>0.26500000000000001</v>
      </c>
      <c r="D21" s="5">
        <f t="shared" ref="D21:K21" si="7">C21*1.06</f>
        <v>0.28090000000000004</v>
      </c>
      <c r="E21" s="5">
        <f t="shared" si="7"/>
        <v>0.29775400000000007</v>
      </c>
      <c r="F21" s="5">
        <f t="shared" si="7"/>
        <v>0.31561924000000008</v>
      </c>
      <c r="G21" s="5">
        <f t="shared" si="7"/>
        <v>0.33455639440000012</v>
      </c>
      <c r="H21" s="5">
        <f t="shared" si="7"/>
        <v>0.35462977806400015</v>
      </c>
      <c r="I21" s="5">
        <f t="shared" si="7"/>
        <v>0.37590756474784015</v>
      </c>
      <c r="J21" s="5">
        <f t="shared" si="7"/>
        <v>0.39846201863271058</v>
      </c>
      <c r="K21" s="5">
        <f t="shared" si="7"/>
        <v>0.42236973975067321</v>
      </c>
    </row>
    <row r="22" spans="1:11" x14ac:dyDescent="0.35">
      <c r="A22" t="s">
        <v>129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</row>
    <row r="23" spans="1:11" x14ac:dyDescent="0.35">
      <c r="A23" t="s">
        <v>130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</row>
    <row r="24" spans="1:11" x14ac:dyDescent="0.35">
      <c r="A24" t="s">
        <v>122</v>
      </c>
      <c r="B24" s="5">
        <f>SUM(B16:B23)</f>
        <v>11.9625</v>
      </c>
      <c r="C24" s="5">
        <f t="shared" ref="C24:K24" si="8">SUM(C16:C23)</f>
        <v>12.680250000000001</v>
      </c>
      <c r="D24" s="5">
        <f t="shared" si="8"/>
        <v>13.441065000000002</v>
      </c>
      <c r="E24" s="5">
        <f t="shared" si="8"/>
        <v>14.247528900000001</v>
      </c>
      <c r="F24" s="5">
        <f t="shared" si="8"/>
        <v>15.102380634000006</v>
      </c>
      <c r="G24" s="5">
        <f t="shared" si="8"/>
        <v>16.008523472040004</v>
      </c>
      <c r="H24" s="5">
        <f t="shared" si="8"/>
        <v>16.969034880362408</v>
      </c>
      <c r="I24" s="5">
        <f t="shared" si="8"/>
        <v>17.987176973184152</v>
      </c>
      <c r="J24" s="5">
        <f t="shared" si="8"/>
        <v>19.066407591575199</v>
      </c>
      <c r="K24" s="5">
        <f t="shared" si="8"/>
        <v>20.210392047069718</v>
      </c>
    </row>
    <row r="28" spans="1:11" x14ac:dyDescent="0.35">
      <c r="A28" t="s">
        <v>70</v>
      </c>
      <c r="B28">
        <f t="shared" ref="B28:K28" si="9">B3</f>
        <v>82</v>
      </c>
      <c r="C28">
        <f t="shared" si="9"/>
        <v>82</v>
      </c>
      <c r="D28">
        <f t="shared" si="9"/>
        <v>85</v>
      </c>
      <c r="E28">
        <f t="shared" si="9"/>
        <v>90</v>
      </c>
      <c r="F28">
        <f t="shared" si="9"/>
        <v>93</v>
      </c>
      <c r="G28">
        <f t="shared" si="9"/>
        <v>96</v>
      </c>
      <c r="H28">
        <f t="shared" si="9"/>
        <v>102</v>
      </c>
      <c r="I28">
        <f t="shared" si="9"/>
        <v>109</v>
      </c>
      <c r="J28">
        <f t="shared" si="9"/>
        <v>115.54</v>
      </c>
      <c r="K28">
        <f t="shared" si="9"/>
        <v>122.47240000000001</v>
      </c>
    </row>
    <row r="29" spans="1:11" x14ac:dyDescent="0.35">
      <c r="A29" t="s">
        <v>71</v>
      </c>
      <c r="B29">
        <f t="shared" ref="B29:K29" si="10">B4</f>
        <v>12.72</v>
      </c>
      <c r="C29">
        <f t="shared" si="10"/>
        <v>13.483200000000002</v>
      </c>
      <c r="D29">
        <f t="shared" si="10"/>
        <v>14.292192000000004</v>
      </c>
      <c r="E29">
        <f t="shared" si="10"/>
        <v>15.149723520000004</v>
      </c>
      <c r="F29">
        <f t="shared" si="10"/>
        <v>16.058706931200003</v>
      </c>
      <c r="G29">
        <f t="shared" si="10"/>
        <v>17.022229347072006</v>
      </c>
      <c r="H29">
        <f t="shared" si="10"/>
        <v>18.043563107896329</v>
      </c>
      <c r="I29">
        <f t="shared" si="10"/>
        <v>19.126176894370111</v>
      </c>
      <c r="J29">
        <f t="shared" si="10"/>
        <v>20.273747508032319</v>
      </c>
      <c r="K29">
        <f t="shared" si="10"/>
        <v>21.490172358514258</v>
      </c>
    </row>
    <row r="30" spans="1:11" x14ac:dyDescent="0.35">
      <c r="A30" t="s">
        <v>72</v>
      </c>
      <c r="B30">
        <f>B5</f>
        <v>120</v>
      </c>
      <c r="C30">
        <f>0.67*C5</f>
        <v>86.43</v>
      </c>
      <c r="D30">
        <f>0.33*D5</f>
        <v>45.54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</row>
    <row r="31" spans="1:11" x14ac:dyDescent="0.35">
      <c r="A31" t="s">
        <v>73</v>
      </c>
      <c r="B31">
        <f>B6</f>
        <v>3.18</v>
      </c>
      <c r="C31">
        <f t="shared" ref="C31:K31" si="11">C6</f>
        <v>3.3708000000000005</v>
      </c>
      <c r="D31">
        <f t="shared" si="11"/>
        <v>3.5730480000000009</v>
      </c>
      <c r="E31">
        <f t="shared" si="11"/>
        <v>3.7874308800000009</v>
      </c>
      <c r="F31">
        <f t="shared" si="11"/>
        <v>4.0146767328000008</v>
      </c>
      <c r="G31">
        <f t="shared" si="11"/>
        <v>4.2555573367680015</v>
      </c>
      <c r="H31">
        <f t="shared" si="11"/>
        <v>4.5108907769740823</v>
      </c>
      <c r="I31">
        <f t="shared" si="11"/>
        <v>4.7815442235925278</v>
      </c>
      <c r="J31">
        <f t="shared" si="11"/>
        <v>5.0684368770080797</v>
      </c>
      <c r="K31">
        <f t="shared" si="11"/>
        <v>5.3725430896285644</v>
      </c>
    </row>
    <row r="32" spans="1:11" x14ac:dyDescent="0.35">
      <c r="A32" t="s">
        <v>74</v>
      </c>
      <c r="B32">
        <f>0.1*B7</f>
        <v>45.1</v>
      </c>
      <c r="C32">
        <f>0.2*C7</f>
        <v>99</v>
      </c>
      <c r="D32">
        <f>0.3*D7</f>
        <v>156.9</v>
      </c>
      <c r="E32">
        <f>0.4*E7</f>
        <v>220</v>
      </c>
      <c r="F32">
        <f>0.5*F7</f>
        <v>289</v>
      </c>
      <c r="G32">
        <f>0.6*G7</f>
        <v>364.8</v>
      </c>
      <c r="H32">
        <f>0.7*H7</f>
        <v>448.7</v>
      </c>
      <c r="I32">
        <f>0.8*I7</f>
        <v>540.80000000000007</v>
      </c>
      <c r="J32">
        <f>0.9*J7</f>
        <v>644.90400000000011</v>
      </c>
      <c r="K32">
        <f>1*K7</f>
        <v>759.55360000000007</v>
      </c>
    </row>
    <row r="33" spans="1:11" x14ac:dyDescent="0.35">
      <c r="A33" t="s">
        <v>84</v>
      </c>
      <c r="B33">
        <f>B8</f>
        <v>424</v>
      </c>
      <c r="C33">
        <f>C8*0.8</f>
        <v>359.55200000000002</v>
      </c>
      <c r="D33">
        <f>D8*0.6</f>
        <v>285.84384</v>
      </c>
      <c r="E33">
        <f>E8*0.4</f>
        <v>201.99631360000001</v>
      </c>
      <c r="F33">
        <f>F8*0.2</f>
        <v>107.05804620800002</v>
      </c>
      <c r="G33">
        <v>0</v>
      </c>
      <c r="H33">
        <v>0</v>
      </c>
      <c r="I33">
        <v>0</v>
      </c>
      <c r="J33">
        <v>0</v>
      </c>
      <c r="K33">
        <v>0</v>
      </c>
    </row>
    <row r="34" spans="1:11" x14ac:dyDescent="0.35">
      <c r="A34" t="s">
        <v>95</v>
      </c>
      <c r="B34">
        <f t="shared" ref="B34:K34" si="12">0.8*B9</f>
        <v>42.400000000000006</v>
      </c>
      <c r="C34">
        <f t="shared" si="12"/>
        <v>44.944000000000003</v>
      </c>
      <c r="D34">
        <f t="shared" si="12"/>
        <v>47.640640000000005</v>
      </c>
      <c r="E34">
        <f t="shared" si="12"/>
        <v>50.499078400000002</v>
      </c>
      <c r="F34">
        <f t="shared" si="12"/>
        <v>53.529023104000011</v>
      </c>
      <c r="G34">
        <f t="shared" si="12"/>
        <v>56.740764490240011</v>
      </c>
      <c r="H34">
        <f t="shared" si="12"/>
        <v>60.145210359654413</v>
      </c>
      <c r="I34">
        <f t="shared" si="12"/>
        <v>63.753922981233679</v>
      </c>
      <c r="J34">
        <f t="shared" si="12"/>
        <v>67.579158360107712</v>
      </c>
      <c r="K34">
        <f t="shared" si="12"/>
        <v>71.633907861714178</v>
      </c>
    </row>
    <row r="35" spans="1:11" x14ac:dyDescent="0.35">
      <c r="A35" t="s">
        <v>96</v>
      </c>
      <c r="B35">
        <f t="shared" ref="B35:K35" si="13">B11</f>
        <v>3.2860000000000005</v>
      </c>
      <c r="C35">
        <f t="shared" si="13"/>
        <v>3.4831600000000007</v>
      </c>
      <c r="D35">
        <f t="shared" si="13"/>
        <v>3.6921496000000009</v>
      </c>
      <c r="E35">
        <f t="shared" si="13"/>
        <v>3.913678576000001</v>
      </c>
      <c r="F35">
        <f t="shared" si="13"/>
        <v>4.1484992905600011</v>
      </c>
      <c r="G35">
        <f t="shared" si="13"/>
        <v>4.3974092479936013</v>
      </c>
      <c r="H35">
        <f t="shared" si="13"/>
        <v>4.661253802873218</v>
      </c>
      <c r="I35">
        <f t="shared" si="13"/>
        <v>4.9409290310456111</v>
      </c>
      <c r="J35">
        <f t="shared" si="13"/>
        <v>5.2373847729083476</v>
      </c>
      <c r="K35">
        <f t="shared" si="13"/>
        <v>5.5516278592828483</v>
      </c>
    </row>
    <row r="36" spans="1:11" x14ac:dyDescent="0.35">
      <c r="A36" t="s">
        <v>103</v>
      </c>
      <c r="B36">
        <f t="shared" ref="B36:K36" si="14">B12</f>
        <v>5.3000000000000007</v>
      </c>
      <c r="C36">
        <f t="shared" si="14"/>
        <v>5.6180000000000012</v>
      </c>
      <c r="D36">
        <f t="shared" si="14"/>
        <v>5.9550800000000015</v>
      </c>
      <c r="E36">
        <f t="shared" si="14"/>
        <v>6.312384800000002</v>
      </c>
      <c r="F36">
        <f t="shared" si="14"/>
        <v>6.6911278880000022</v>
      </c>
      <c r="G36">
        <f t="shared" si="14"/>
        <v>7.0925955612800031</v>
      </c>
      <c r="H36">
        <f t="shared" si="14"/>
        <v>7.5181512949568035</v>
      </c>
      <c r="I36">
        <f t="shared" si="14"/>
        <v>7.9692403726542125</v>
      </c>
      <c r="J36">
        <f t="shared" si="14"/>
        <v>8.4473947950134658</v>
      </c>
      <c r="K36">
        <f t="shared" si="14"/>
        <v>8.954238482714274</v>
      </c>
    </row>
    <row r="37" spans="1:11" x14ac:dyDescent="0.35">
      <c r="A37" t="s">
        <v>104</v>
      </c>
      <c r="B37" s="3">
        <f t="shared" ref="B37:K37" si="15">B13</f>
        <v>5.3000000000000005E-2</v>
      </c>
      <c r="C37" s="3">
        <f t="shared" si="15"/>
        <v>5.6180000000000008E-2</v>
      </c>
      <c r="D37" s="3">
        <f t="shared" si="15"/>
        <v>5.9550800000000008E-2</v>
      </c>
      <c r="E37" s="3">
        <f t="shared" si="15"/>
        <v>6.312384800000001E-2</v>
      </c>
      <c r="F37" s="3">
        <f t="shared" si="15"/>
        <v>6.6911278880000008E-2</v>
      </c>
      <c r="G37" s="3">
        <f t="shared" si="15"/>
        <v>7.0925955612800018E-2</v>
      </c>
      <c r="H37" s="3">
        <f t="shared" si="15"/>
        <v>7.5181512949568027E-2</v>
      </c>
      <c r="I37" s="3">
        <f t="shared" si="15"/>
        <v>7.9692403726542113E-2</v>
      </c>
      <c r="J37" s="3">
        <f t="shared" si="15"/>
        <v>8.4473947950134645E-2</v>
      </c>
      <c r="K37" s="3">
        <f t="shared" si="15"/>
        <v>8.9542384827142732E-2</v>
      </c>
    </row>
    <row r="38" spans="1:11" x14ac:dyDescent="0.35">
      <c r="A38" t="s">
        <v>105</v>
      </c>
      <c r="B38" s="5">
        <f t="shared" ref="B38:K38" si="16">B14</f>
        <v>3.18</v>
      </c>
      <c r="C38" s="5">
        <f t="shared" si="16"/>
        <v>3.3708000000000005</v>
      </c>
      <c r="D38" s="5">
        <f t="shared" si="16"/>
        <v>3.5730480000000009</v>
      </c>
      <c r="E38" s="5">
        <f t="shared" si="16"/>
        <v>3.7874308800000009</v>
      </c>
      <c r="F38" s="5">
        <f t="shared" si="16"/>
        <v>4.0146767328000008</v>
      </c>
      <c r="G38" s="5">
        <f t="shared" si="16"/>
        <v>4.2555573367680015</v>
      </c>
      <c r="H38" s="5">
        <f t="shared" si="16"/>
        <v>4.2555573367680015</v>
      </c>
      <c r="I38" s="5">
        <f t="shared" si="16"/>
        <v>4.2555573367680015</v>
      </c>
      <c r="J38" s="5">
        <f t="shared" si="16"/>
        <v>4.2555573367680015</v>
      </c>
      <c r="K38" s="5">
        <f t="shared" si="16"/>
        <v>4.2555573367680015</v>
      </c>
    </row>
    <row r="39" spans="1:11" x14ac:dyDescent="0.35">
      <c r="A39" t="s">
        <v>106</v>
      </c>
      <c r="B39" s="5">
        <f t="shared" ref="B39:K39" si="17">B24</f>
        <v>11.9625</v>
      </c>
      <c r="C39" s="5">
        <f t="shared" si="17"/>
        <v>12.680250000000001</v>
      </c>
      <c r="D39" s="5">
        <f t="shared" si="17"/>
        <v>13.441065000000002</v>
      </c>
      <c r="E39" s="5">
        <f t="shared" si="17"/>
        <v>14.247528900000001</v>
      </c>
      <c r="F39" s="5">
        <f t="shared" si="17"/>
        <v>15.102380634000006</v>
      </c>
      <c r="G39" s="5">
        <f t="shared" si="17"/>
        <v>16.008523472040004</v>
      </c>
      <c r="H39" s="5">
        <f t="shared" si="17"/>
        <v>16.969034880362408</v>
      </c>
      <c r="I39" s="5">
        <f t="shared" si="17"/>
        <v>17.987176973184152</v>
      </c>
      <c r="J39" s="5">
        <f t="shared" si="17"/>
        <v>19.066407591575199</v>
      </c>
      <c r="K39" s="5">
        <f t="shared" si="17"/>
        <v>20.210392047069718</v>
      </c>
    </row>
    <row r="41" spans="1:11" x14ac:dyDescent="0.35">
      <c r="A41" t="s">
        <v>75</v>
      </c>
      <c r="B41">
        <f>SUM(B28:B39)</f>
        <v>753.1814999999998</v>
      </c>
      <c r="C41">
        <f t="shared" ref="C41:K41" si="18">SUM(C28:C39)</f>
        <v>713.98839000000009</v>
      </c>
      <c r="D41">
        <f t="shared" si="18"/>
        <v>665.5106133999999</v>
      </c>
      <c r="E41">
        <f t="shared" si="18"/>
        <v>609.75669340400009</v>
      </c>
      <c r="F41">
        <f t="shared" si="18"/>
        <v>592.68404880024002</v>
      </c>
      <c r="G41">
        <f t="shared" si="18"/>
        <v>570.64356274777435</v>
      </c>
      <c r="H41">
        <f t="shared" si="18"/>
        <v>666.87884307243485</v>
      </c>
      <c r="I41">
        <f t="shared" si="18"/>
        <v>772.69424021657494</v>
      </c>
      <c r="J41">
        <f t="shared" si="18"/>
        <v>890.45656118936347</v>
      </c>
      <c r="K41">
        <f t="shared" si="18"/>
        <v>1019.583981420519</v>
      </c>
    </row>
    <row r="42" spans="1:11" x14ac:dyDescent="0.35">
      <c r="A42" t="s">
        <v>146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3EFC8-4782-4C5F-B880-FCD39ABF24E7}">
  <dimension ref="A1:L12"/>
  <sheetViews>
    <sheetView workbookViewId="0">
      <selection activeCell="B9" sqref="B9"/>
    </sheetView>
  </sheetViews>
  <sheetFormatPr defaultColWidth="19.54296875" defaultRowHeight="14.5" x14ac:dyDescent="0.35"/>
  <cols>
    <col min="1" max="1" width="43" bestFit="1" customWidth="1"/>
    <col min="2" max="2" width="8.54296875" bestFit="1" customWidth="1"/>
    <col min="3" max="5" width="11.54296875" bestFit="1" customWidth="1"/>
    <col min="6" max="6" width="10.54296875" bestFit="1" customWidth="1"/>
    <col min="7" max="11" width="11.54296875" bestFit="1" customWidth="1"/>
  </cols>
  <sheetData>
    <row r="1" spans="1:12" x14ac:dyDescent="0.35">
      <c r="A1" s="1"/>
      <c r="B1">
        <v>2026</v>
      </c>
      <c r="C1">
        <v>2027</v>
      </c>
      <c r="D1">
        <v>2028</v>
      </c>
      <c r="E1">
        <v>2029</v>
      </c>
      <c r="F1">
        <v>2030</v>
      </c>
      <c r="G1">
        <v>2031</v>
      </c>
      <c r="H1">
        <v>2032</v>
      </c>
      <c r="I1">
        <v>2033</v>
      </c>
      <c r="J1">
        <v>2034</v>
      </c>
      <c r="K1">
        <v>2035</v>
      </c>
      <c r="L1" s="1"/>
    </row>
    <row r="2" spans="1:12" x14ac:dyDescent="0.3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x14ac:dyDescent="0.35">
      <c r="A3" t="s">
        <v>78</v>
      </c>
      <c r="B3" s="6">
        <f>Outlays!B20</f>
        <v>998.64508935368895</v>
      </c>
      <c r="C3" s="6">
        <f>Outlays!C20</f>
        <v>1046.0277388256018</v>
      </c>
      <c r="D3" s="6">
        <f>Outlays!D20</f>
        <v>1095.8044219734959</v>
      </c>
      <c r="E3" s="6">
        <f>Outlays!E20</f>
        <v>1147.0953778543278</v>
      </c>
      <c r="F3" s="6">
        <f>Outlays!F20</f>
        <v>1203.0269612179343</v>
      </c>
      <c r="G3" s="6">
        <f>Outlays!G20</f>
        <v>1261.7319568298744</v>
      </c>
      <c r="H3" s="6">
        <f>Outlays!H20</f>
        <v>1323.3499100861218</v>
      </c>
      <c r="I3" s="6">
        <f>Outlays!I20</f>
        <v>1388.0274747697151</v>
      </c>
      <c r="J3" s="6">
        <f>Outlays!J20</f>
        <v>1455.9187788440806</v>
      </c>
      <c r="K3" s="6">
        <f>Outlays!K20</f>
        <v>1527.1858092246807</v>
      </c>
      <c r="L3" s="2"/>
    </row>
    <row r="4" spans="1:12" x14ac:dyDescent="0.35">
      <c r="A4" t="s">
        <v>79</v>
      </c>
      <c r="B4" s="2">
        <f>Savings!B41</f>
        <v>753.1814999999998</v>
      </c>
      <c r="C4" s="2">
        <f>Savings!C41</f>
        <v>713.98839000000009</v>
      </c>
      <c r="D4" s="2">
        <f>Savings!D41</f>
        <v>665.5106133999999</v>
      </c>
      <c r="E4" s="2">
        <f>Savings!E41</f>
        <v>609.75669340400009</v>
      </c>
      <c r="F4" s="2">
        <f>Savings!F41</f>
        <v>592.68404880024002</v>
      </c>
      <c r="G4" s="2">
        <f>Savings!G41</f>
        <v>570.64356274777435</v>
      </c>
      <c r="H4" s="2">
        <f>Savings!H41</f>
        <v>666.87884307243485</v>
      </c>
      <c r="I4" s="2">
        <f>Savings!I41</f>
        <v>772.69424021657494</v>
      </c>
      <c r="J4" s="2">
        <f>Savings!J41</f>
        <v>890.45656118936347</v>
      </c>
      <c r="K4" s="2">
        <f>Savings!K41</f>
        <v>1019.583981420519</v>
      </c>
      <c r="L4" s="2"/>
    </row>
    <row r="5" spans="1:12" x14ac:dyDescent="0.3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6" spans="1:12" x14ac:dyDescent="0.35">
      <c r="A6" t="s">
        <v>80</v>
      </c>
      <c r="B6" s="6">
        <f>B3 - B4</f>
        <v>245.46358935368914</v>
      </c>
      <c r="C6" s="6">
        <f>C3 - C4</f>
        <v>332.03934882560168</v>
      </c>
      <c r="D6" s="6">
        <f t="shared" ref="D6:J6" si="0">D3 - D4</f>
        <v>430.29380857349599</v>
      </c>
      <c r="E6" s="6">
        <f t="shared" si="0"/>
        <v>537.33868445032772</v>
      </c>
      <c r="F6" s="6">
        <f t="shared" si="0"/>
        <v>610.34291241769427</v>
      </c>
      <c r="G6" s="6">
        <f t="shared" si="0"/>
        <v>691.08839408210008</v>
      </c>
      <c r="H6" s="6">
        <f t="shared" si="0"/>
        <v>656.47106701368693</v>
      </c>
      <c r="I6" s="6">
        <f t="shared" si="0"/>
        <v>615.33323455314019</v>
      </c>
      <c r="J6" s="6">
        <f t="shared" si="0"/>
        <v>565.46221765471716</v>
      </c>
      <c r="K6" s="6">
        <f>K3 - K4</f>
        <v>507.60182780416176</v>
      </c>
      <c r="L6" s="2"/>
    </row>
    <row r="7" spans="1:12" x14ac:dyDescent="0.35">
      <c r="A7" t="s">
        <v>76</v>
      </c>
      <c r="B7" s="6">
        <f>B6</f>
        <v>245.46358935368914</v>
      </c>
      <c r="C7" s="6">
        <f>B7 + C6</f>
        <v>577.50293817929082</v>
      </c>
      <c r="D7" s="6">
        <f t="shared" ref="D7:K7" si="1">C7 + D6</f>
        <v>1007.7967467527868</v>
      </c>
      <c r="E7" s="6">
        <f t="shared" si="1"/>
        <v>1545.1354312031144</v>
      </c>
      <c r="F7" s="6">
        <f t="shared" si="1"/>
        <v>2155.4783436208086</v>
      </c>
      <c r="G7" s="6">
        <f t="shared" si="1"/>
        <v>2846.5667377029085</v>
      </c>
      <c r="H7" s="6">
        <f t="shared" si="1"/>
        <v>3503.0378047165955</v>
      </c>
      <c r="I7" s="6">
        <f t="shared" si="1"/>
        <v>4118.3710392697358</v>
      </c>
      <c r="J7" s="6">
        <f t="shared" si="1"/>
        <v>4683.8332569244531</v>
      </c>
      <c r="K7" s="6">
        <f t="shared" si="1"/>
        <v>5191.435084728615</v>
      </c>
      <c r="L7" s="2"/>
    </row>
    <row r="8" spans="1:12" x14ac:dyDescent="0.3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</row>
    <row r="9" spans="1:12" x14ac:dyDescent="0.35">
      <c r="A9" s="2" t="s">
        <v>77</v>
      </c>
      <c r="B9" s="6">
        <f>SUM(B6:K6)</f>
        <v>5191.435084728615</v>
      </c>
      <c r="C9" s="2"/>
      <c r="D9" s="2"/>
      <c r="E9" s="2"/>
      <c r="F9" s="2"/>
      <c r="G9" s="2"/>
      <c r="H9" s="2"/>
      <c r="I9" s="2"/>
      <c r="J9" s="2"/>
      <c r="K9" s="2"/>
      <c r="L9" s="2"/>
    </row>
    <row r="10" spans="1:12" x14ac:dyDescent="0.3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 x14ac:dyDescent="0.35">
      <c r="A11" s="7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spans="1:12" x14ac:dyDescent="0.35">
      <c r="A12" s="7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C665F-CD34-4F28-B6D8-454CF320A7D2}">
  <dimension ref="A1:O19"/>
  <sheetViews>
    <sheetView workbookViewId="0">
      <selection activeCell="A30" sqref="A30"/>
    </sheetView>
  </sheetViews>
  <sheetFormatPr defaultRowHeight="14.5" x14ac:dyDescent="0.35"/>
  <cols>
    <col min="1" max="1" width="75.26953125" bestFit="1" customWidth="1"/>
    <col min="11" max="11" width="11.81640625" bestFit="1" customWidth="1"/>
  </cols>
  <sheetData>
    <row r="1" spans="1:15" x14ac:dyDescent="0.35">
      <c r="A1" s="11" t="s">
        <v>148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</row>
    <row r="2" spans="1:15" x14ac:dyDescent="0.35">
      <c r="A2" s="11" t="s">
        <v>149</v>
      </c>
      <c r="B2" s="11">
        <v>2026</v>
      </c>
      <c r="C2" s="11">
        <v>2027</v>
      </c>
      <c r="D2" s="11">
        <v>2028</v>
      </c>
      <c r="E2" s="11">
        <v>2029</v>
      </c>
      <c r="F2" s="11">
        <v>2030</v>
      </c>
      <c r="G2" s="11">
        <v>2031</v>
      </c>
      <c r="H2" s="11">
        <v>2032</v>
      </c>
      <c r="I2" s="11">
        <v>2033</v>
      </c>
      <c r="J2" s="11">
        <v>2034</v>
      </c>
      <c r="K2" s="11">
        <v>2035</v>
      </c>
      <c r="L2" s="11" t="s">
        <v>150</v>
      </c>
      <c r="M2" s="11"/>
      <c r="N2" s="11"/>
      <c r="O2" s="11"/>
    </row>
    <row r="3" spans="1:15" x14ac:dyDescent="0.3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</row>
    <row r="4" spans="1:15" x14ac:dyDescent="0.35">
      <c r="A4" s="11" t="s">
        <v>151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</row>
    <row r="5" spans="1:15" x14ac:dyDescent="0.35">
      <c r="A5" s="11" t="s">
        <v>30</v>
      </c>
      <c r="B5" s="11">
        <v>830.0820066</v>
      </c>
      <c r="C5" s="11">
        <v>874.37518250000005</v>
      </c>
      <c r="D5" s="11">
        <v>921.03184220000003</v>
      </c>
      <c r="E5" s="11">
        <v>970.17810129999998</v>
      </c>
      <c r="F5" s="11">
        <v>1021.946805</v>
      </c>
      <c r="G5" s="11">
        <v>1076.4778859999999</v>
      </c>
      <c r="H5" s="11">
        <v>1133.9187460000001</v>
      </c>
      <c r="I5" s="11">
        <v>1194.424651</v>
      </c>
      <c r="J5" s="11">
        <v>1258.15915</v>
      </c>
      <c r="K5" s="11">
        <v>1325.2945219999999</v>
      </c>
      <c r="L5" s="11" t="s">
        <v>152</v>
      </c>
      <c r="M5" s="11"/>
      <c r="N5" s="11"/>
      <c r="O5" s="11"/>
    </row>
    <row r="6" spans="1:15" x14ac:dyDescent="0.35">
      <c r="A6" s="11" t="s">
        <v>153</v>
      </c>
      <c r="B6" s="11">
        <v>279.2</v>
      </c>
      <c r="C6" s="11">
        <v>290.36799999999999</v>
      </c>
      <c r="D6" s="11">
        <v>301.98271999999997</v>
      </c>
      <c r="E6" s="11">
        <v>314.06202880000001</v>
      </c>
      <c r="F6" s="11">
        <v>326.62450999999999</v>
      </c>
      <c r="G6" s="11">
        <v>339.68949040000001</v>
      </c>
      <c r="H6" s="11">
        <v>353.27706999999998</v>
      </c>
      <c r="I6" s="11">
        <v>367.40815279999998</v>
      </c>
      <c r="J6" s="11">
        <v>382.1044789</v>
      </c>
      <c r="K6" s="11">
        <v>397.38865800000002</v>
      </c>
      <c r="L6" s="11" t="s">
        <v>154</v>
      </c>
      <c r="M6" s="11"/>
      <c r="N6" s="11"/>
      <c r="O6" s="11"/>
    </row>
    <row r="7" spans="1:15" x14ac:dyDescent="0.35">
      <c r="A7" s="11" t="s">
        <v>155</v>
      </c>
      <c r="B7" s="11">
        <v>1109.282007</v>
      </c>
      <c r="C7" s="11">
        <v>1164.743183</v>
      </c>
      <c r="D7" s="11">
        <v>1223.0145620000001</v>
      </c>
      <c r="E7" s="11">
        <v>1284.2401299999999</v>
      </c>
      <c r="F7" s="11">
        <v>1348.5713149999999</v>
      </c>
      <c r="G7" s="11">
        <v>1416.167377</v>
      </c>
      <c r="H7" s="11">
        <v>1487.1958159999999</v>
      </c>
      <c r="I7" s="11">
        <v>1561.832803</v>
      </c>
      <c r="J7" s="11">
        <v>1640.263629</v>
      </c>
      <c r="K7" s="11">
        <v>1722.68318</v>
      </c>
      <c r="L7" s="11"/>
      <c r="M7" s="11"/>
      <c r="N7" s="11"/>
      <c r="O7" s="11"/>
    </row>
    <row r="8" spans="1:15" x14ac:dyDescent="0.3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spans="1:15" x14ac:dyDescent="0.35">
      <c r="A9" s="11" t="s">
        <v>156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</row>
    <row r="10" spans="1:15" x14ac:dyDescent="0.35">
      <c r="A10" s="11" t="s">
        <v>28</v>
      </c>
      <c r="B10" s="11">
        <v>1300</v>
      </c>
      <c r="C10" s="11">
        <v>1369.3679999999999</v>
      </c>
      <c r="D10" s="11">
        <v>1442.4374760000001</v>
      </c>
      <c r="E10" s="11">
        <v>1519.4059400000001</v>
      </c>
      <c r="F10" s="11">
        <v>1600.4814409999999</v>
      </c>
      <c r="G10" s="11">
        <v>1685.883131</v>
      </c>
      <c r="H10" s="11">
        <v>1775.8418549999999</v>
      </c>
      <c r="I10" s="11">
        <v>1870.600776</v>
      </c>
      <c r="J10" s="11">
        <v>1970.4160340000001</v>
      </c>
      <c r="K10" s="11">
        <v>2075.5574329999999</v>
      </c>
      <c r="L10" s="11" t="s">
        <v>157</v>
      </c>
      <c r="M10" s="11"/>
      <c r="N10" s="11"/>
      <c r="O10" s="11"/>
    </row>
    <row r="11" spans="1:15" x14ac:dyDescent="0.35">
      <c r="A11" s="11" t="s">
        <v>158</v>
      </c>
      <c r="B11" s="11">
        <v>0.63852461999999999</v>
      </c>
      <c r="C11" s="11">
        <v>0.63852461999999999</v>
      </c>
      <c r="D11" s="11">
        <v>0.63852461999999999</v>
      </c>
      <c r="E11" s="11">
        <v>0.63852461999999999</v>
      </c>
      <c r="F11" s="11">
        <v>0.63852461999999999</v>
      </c>
      <c r="G11" s="11">
        <v>0.63852461999999999</v>
      </c>
      <c r="H11" s="11">
        <v>0.63852461999999999</v>
      </c>
      <c r="I11" s="11">
        <v>0.63852461999999999</v>
      </c>
      <c r="J11" s="11">
        <v>0.63852461999999999</v>
      </c>
      <c r="K11" s="11">
        <v>0.63852461999999999</v>
      </c>
      <c r="L11" s="11" t="s">
        <v>159</v>
      </c>
      <c r="M11" s="11"/>
      <c r="N11" s="11"/>
      <c r="O11" s="11"/>
    </row>
    <row r="12" spans="1:15" x14ac:dyDescent="0.35">
      <c r="A12" s="11" t="s">
        <v>160</v>
      </c>
      <c r="B12" s="11">
        <v>469.9179934</v>
      </c>
      <c r="C12" s="11">
        <v>494.9928175</v>
      </c>
      <c r="D12" s="11">
        <v>521.40563420000001</v>
      </c>
      <c r="E12" s="11">
        <v>549.22783890000005</v>
      </c>
      <c r="F12" s="11">
        <v>578.53463639999995</v>
      </c>
      <c r="G12" s="11">
        <v>609.40524459999995</v>
      </c>
      <c r="H12" s="11">
        <v>641.92310840000005</v>
      </c>
      <c r="I12" s="11">
        <v>676.17612550000001</v>
      </c>
      <c r="J12" s="11">
        <v>712.25688349999996</v>
      </c>
      <c r="K12" s="11">
        <v>750.26291079999999</v>
      </c>
      <c r="L12" s="11" t="s">
        <v>161</v>
      </c>
      <c r="M12" s="11"/>
      <c r="N12" s="11"/>
      <c r="O12" s="11"/>
    </row>
    <row r="13" spans="1:15" x14ac:dyDescent="0.35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 spans="1:15" x14ac:dyDescent="0.35">
      <c r="A14" t="s">
        <v>169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spans="1:15" x14ac:dyDescent="0.35">
      <c r="A15" t="s">
        <v>170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spans="1:15" x14ac:dyDescent="0.35">
      <c r="A16" t="s">
        <v>171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spans="1:15" x14ac:dyDescent="0.35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spans="1:15" x14ac:dyDescent="0.35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spans="1:15" x14ac:dyDescent="0.35">
      <c r="A19" s="11" t="s">
        <v>162</v>
      </c>
      <c r="B19" s="11">
        <v>639.36401330000001</v>
      </c>
      <c r="C19" s="11">
        <v>669.75036499999999</v>
      </c>
      <c r="D19" s="11">
        <v>701.60892799999999</v>
      </c>
      <c r="E19" s="11">
        <v>735.01229130000002</v>
      </c>
      <c r="F19" s="11">
        <v>770.03667840000003</v>
      </c>
      <c r="G19" s="11">
        <v>806.76213210000003</v>
      </c>
      <c r="H19" s="11">
        <v>845.2727079</v>
      </c>
      <c r="I19" s="11">
        <v>885.65667789999998</v>
      </c>
      <c r="J19" s="11">
        <v>928.0067454</v>
      </c>
      <c r="K19" s="11">
        <v>972.42026950000002</v>
      </c>
      <c r="L19" s="11" t="s">
        <v>163</v>
      </c>
      <c r="M19" s="11"/>
      <c r="N19" s="11"/>
      <c r="O19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Inputs</vt:lpstr>
      <vt:lpstr>BetaCalc</vt:lpstr>
      <vt:lpstr>GammaCalc </vt:lpstr>
      <vt:lpstr>Outlays</vt:lpstr>
      <vt:lpstr>Savings</vt:lpstr>
      <vt:lpstr>Summary table</vt:lpstr>
      <vt:lpstr>Consumer Savings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Bennett Alphson</dc:creator>
  <cp:lastModifiedBy>Bennett Alphson</cp:lastModifiedBy>
  <dcterms:created xsi:type="dcterms:W3CDTF">2025-11-19T21:53:25Z</dcterms:created>
  <dcterms:modified xsi:type="dcterms:W3CDTF">2025-12-17T22:36:46Z</dcterms:modified>
</cp:coreProperties>
</file>